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тог" sheetId="1" state="visible" r:id="rId3"/>
    <sheet name="Параметры" sheetId="2" state="visible" r:id="rId4"/>
    <sheet name="Заказ" sheetId="3" state="visible" r:id="rId5"/>
    <sheet name="Источники и допущения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Ставки ЕТТ ЕАЭС: 8302 41 — 10%, 8302 10 (петли) — 0%, 8302 60 (доводчики) — 10%, 8301 40 — 12%, 8301 60 (цилиндры как части замков) — 15%. Источники: alta.ru, tws.by, ifcg.ru</t>
        </r>
      </text>
    </comment>
  </commentList>
</comments>
</file>

<file path=xl/sharedStrings.xml><?xml version="1.0" encoding="utf-8"?>
<sst xmlns="http://schemas.openxmlformats.org/spreadsheetml/2006/main" count="212" uniqueCount="156">
  <si>
    <t xml:space="preserve">Себестоимость партии дверной фурнитуры — одна фура из Китая</t>
  </si>
  <si>
    <t xml:space="preserve">Статья</t>
  </si>
  <si>
    <t xml:space="preserve">USD</t>
  </si>
  <si>
    <t xml:space="preserve">сом</t>
  </si>
  <si>
    <t xml:space="preserve">% к FOB</t>
  </si>
  <si>
    <t xml:space="preserve">Товар (FOB Китай)</t>
  </si>
  <si>
    <t xml:space="preserve">Логистика (фура)</t>
  </si>
  <si>
    <t xml:space="preserve">Страхование</t>
  </si>
  <si>
    <t xml:space="preserve">Ввозная пошлина</t>
  </si>
  <si>
    <t xml:space="preserve">Таможенный сбор 0,4%</t>
  </si>
  <si>
    <t xml:space="preserve">НДС при импорте (в себестоимости, если включён)</t>
  </si>
  <si>
    <t xml:space="preserve">Брокер, СВХ, банк, агент, инспекция</t>
  </si>
  <si>
    <t xml:space="preserve">Резерв на непредвиденные</t>
  </si>
  <si>
    <t xml:space="preserve">СЕБЕСТОИМОСТЬ ПАРТИИ</t>
  </si>
  <si>
    <t xml:space="preserve">Справочно: НДС к уплате на границе (деньги нужны в любом случае)</t>
  </si>
  <si>
    <t xml:space="preserve">Нужно денег всего (товар + все расходы + НДС)</t>
  </si>
  <si>
    <t xml:space="preserve">Показатели</t>
  </si>
  <si>
    <t xml:space="preserve">Вес партии, кг</t>
  </si>
  <si>
    <t xml:space="preserve">Загрузка фуры по весу</t>
  </si>
  <si>
    <t xml:space="preserve">Объём партии, м³</t>
  </si>
  <si>
    <t xml:space="preserve">Загрузка фуры по объёму</t>
  </si>
  <si>
    <t xml:space="preserve">Единиц товара в заказе, шт/компл</t>
  </si>
  <si>
    <t xml:space="preserve">Логистика на 1 кг, $</t>
  </si>
  <si>
    <t xml:space="preserve">Таможенные платежи (пошлина+сбор+НДС), $</t>
  </si>
  <si>
    <t xml:space="preserve">Себестоимость к FOB (коэффициент)</t>
  </si>
  <si>
    <t xml:space="preserve">Выручка при оптовой наценке, $</t>
  </si>
  <si>
    <t xml:space="preserve">Валовая прибыль с партии, $</t>
  </si>
  <si>
    <t xml:space="preserve">По категориям</t>
  </si>
  <si>
    <t xml:space="preserve">FOB, $</t>
  </si>
  <si>
    <t xml:space="preserve">Себестоимость, $</t>
  </si>
  <si>
    <t xml:space="preserve">Вес, кг</t>
  </si>
  <si>
    <t xml:space="preserve">Ручки</t>
  </si>
  <si>
    <t xml:space="preserve">Механизмы</t>
  </si>
  <si>
    <t xml:space="preserve">Замки</t>
  </si>
  <si>
    <t xml:space="preserve">Цилиндры</t>
  </si>
  <si>
    <t xml:space="preserve">Фиксаторы</t>
  </si>
  <si>
    <t xml:space="preserve">Петли</t>
  </si>
  <si>
    <t xml:space="preserve">Шпингалеты</t>
  </si>
  <si>
    <t xml:space="preserve">Аксессуары</t>
  </si>
  <si>
    <t xml:space="preserve">Параметры расчёта импорта дверной фурнитуры (Китай → Бишкек)</t>
  </si>
  <si>
    <t xml:space="preserve">Жёлтые ячейки с синим шрифтом — вводные, их можно менять; все листы пересчитаются.</t>
  </si>
  <si>
    <t xml:space="preserve">Параметр</t>
  </si>
  <si>
    <t xml:space="preserve">Значение</t>
  </si>
  <si>
    <t xml:space="preserve">Комментарий / источник</t>
  </si>
  <si>
    <t xml:space="preserve">Курс USD → KGS (сом)</t>
  </si>
  <si>
    <t xml:space="preserve">Ориентир; подставьте курс НБКР на дату оплаты</t>
  </si>
  <si>
    <t xml:space="preserve">Стоимость фуры Китай → Бишкек, $</t>
  </si>
  <si>
    <t xml:space="preserve">Со слов заказчика</t>
  </si>
  <si>
    <t xml:space="preserve">Грузоподъёмность фуры, кг</t>
  </si>
  <si>
    <t xml:space="preserve">Типично 20–22 т для тента 13,6 м; фурнитура тяжёлая — упрёмся в вес, а не в объём</t>
  </si>
  <si>
    <t xml:space="preserve">Полезный объём фуры, м³</t>
  </si>
  <si>
    <t xml:space="preserve">Тент 13,6×2,45×2,6 м</t>
  </si>
  <si>
    <t xml:space="preserve">Доля фрахта до границы ЕАЭС (входит в там. стоимость)</t>
  </si>
  <si>
    <t xml:space="preserve">Таможенная стоимость = цена + доставка до места ввоза (Иркештам/Торугарт). Основной путь — по Китаю, поэтому ~80%</t>
  </si>
  <si>
    <t xml:space="preserve">Страхование груза, % от FOB</t>
  </si>
  <si>
    <t xml:space="preserve">Ориентир 0,2–0,5%</t>
  </si>
  <si>
    <t xml:space="preserve">Таможенный сбор за оформление, % от там. стоимости</t>
  </si>
  <si>
    <t xml:space="preserve">0,40% — разъяснение ГТС КР (economist.kg, 03.04.2025)</t>
  </si>
  <si>
    <t xml:space="preserve">НДС при импорте, %</t>
  </si>
  <si>
    <t xml:space="preserve">Ставка НДС КР 12%</t>
  </si>
  <si>
    <t xml:space="preserve">Включать НДС в себестоимость? (1 = да, 0 = нет)</t>
  </si>
  <si>
    <t xml:space="preserve">Если вы плательщик НДС и берёте его в зачёт — поставьте 0</t>
  </si>
  <si>
    <t xml:space="preserve">Таможенный брокер, декларация, $</t>
  </si>
  <si>
    <t xml:space="preserve">Ориентир за 1 ДТ с 20 позициями</t>
  </si>
  <si>
    <t xml:space="preserve">СВХ, разгрузка, доставка до склада, $</t>
  </si>
  <si>
    <t xml:space="preserve">Ориентир</t>
  </si>
  <si>
    <t xml:space="preserve">Комиссия банка / платёжного агента, % от FOB</t>
  </si>
  <si>
    <t xml:space="preserve">Перевод в Китай; 0,5–2%</t>
  </si>
  <si>
    <t xml:space="preserve">Агент / байер в Китае, % от FOB</t>
  </si>
  <si>
    <t xml:space="preserve">Поиск фабрик, консолидация, контроль; 3–5%. Если работаете напрямую — 0</t>
  </si>
  <si>
    <t xml:space="preserve">Образцы, инспекция качества, $</t>
  </si>
  <si>
    <t xml:space="preserve">Резерв на непредвиденные, %</t>
  </si>
  <si>
    <t xml:space="preserve">Простой на границе, пересорт, курсовая разница</t>
  </si>
  <si>
    <t xml:space="preserve">Оптовая наценка, %</t>
  </si>
  <si>
    <t xml:space="preserve">Для оценки выручки; поменяйте под ваш рынок</t>
  </si>
  <si>
    <t xml:space="preserve">Заказ на одну фуру и себестоимость по позициям, USD</t>
  </si>
  <si>
    <t xml:space="preserve">Синие — вводные (кол-во, цена FOB, вес, объём, ставка пошлины). Цены — ориентир по made-in-china / Global Sources, уточните у фабрик. Логистика распределена пропорционально весу.</t>
  </si>
  <si>
    <t xml:space="preserve">№</t>
  </si>
  <si>
    <t xml:space="preserve">Категория</t>
  </si>
  <si>
    <t xml:space="preserve">Наименование / спецификация</t>
  </si>
  <si>
    <t xml:space="preserve">Код ТН ВЭД</t>
  </si>
  <si>
    <t xml:space="preserve">Пошлина</t>
  </si>
  <si>
    <t xml:space="preserve">Ед.</t>
  </si>
  <si>
    <t xml:space="preserve">Кол-во</t>
  </si>
  <si>
    <t xml:space="preserve">Цена FOB, $</t>
  </si>
  <si>
    <t xml:space="preserve">Сумма FOB, $</t>
  </si>
  <si>
    <t xml:space="preserve">Вес ед. брутто, кг</t>
  </si>
  <si>
    <t xml:space="preserve">Вес итого, кг</t>
  </si>
  <si>
    <t xml:space="preserve">Объём ед., м³</t>
  </si>
  <si>
    <t xml:space="preserve">Объём итого, м³</t>
  </si>
  <si>
    <t xml:space="preserve">Логистика, $</t>
  </si>
  <si>
    <t xml:space="preserve">Страховка, $</t>
  </si>
  <si>
    <t xml:space="preserve">Там. стоимость, $</t>
  </si>
  <si>
    <t xml:space="preserve">Пошлина, $</t>
  </si>
  <si>
    <t xml:space="preserve">Там. сбор, $</t>
  </si>
  <si>
    <t xml:space="preserve">НДС импорт, $</t>
  </si>
  <si>
    <t xml:space="preserve">Прочие расходы, $</t>
  </si>
  <si>
    <t xml:space="preserve">Резерв, $</t>
  </si>
  <si>
    <t xml:space="preserve">Себестоимость итого, $</t>
  </si>
  <si>
    <t xml:space="preserve">Себест. ед., $</t>
  </si>
  <si>
    <t xml:space="preserve">Себест. ед., сом</t>
  </si>
  <si>
    <t xml:space="preserve">Опт. цена ед., сом</t>
  </si>
  <si>
    <t xml:space="preserve">Себест. / FOB</t>
  </si>
  <si>
    <t xml:space="preserve">Ручка на розетке, цинк (ЦАМ), хром/никель, эконом</t>
  </si>
  <si>
    <t xml:space="preserve">8302 41 100 0</t>
  </si>
  <si>
    <t xml:space="preserve">компл</t>
  </si>
  <si>
    <t xml:space="preserve">Ручка на розетке, цинк, матовый чёрный / PVD-золото, премиум</t>
  </si>
  <si>
    <t xml:space="preserve">Ручка на планке 85 мм под цилиндр, алюминий/цинк</t>
  </si>
  <si>
    <t xml:space="preserve">Ручка-купе / скоба для раздвижных дверей</t>
  </si>
  <si>
    <t xml:space="preserve">шт</t>
  </si>
  <si>
    <t xml:space="preserve">Защёлка межкомнатная механическая (пластиковый язычок)</t>
  </si>
  <si>
    <t xml:space="preserve">Защёлка магнитная бесшумная</t>
  </si>
  <si>
    <t xml:space="preserve">Замок врезной межкомнатный под цилиндр, 85 мм</t>
  </si>
  <si>
    <t xml:space="preserve">8301 40 110 0</t>
  </si>
  <si>
    <t xml:space="preserve">Замок врезной сантехнический (WC), 85 мм</t>
  </si>
  <si>
    <t xml:space="preserve">8301 40 190 0</t>
  </si>
  <si>
    <t xml:space="preserve">Замок для входной двери сувальдный/цилиндровый, комплект</t>
  </si>
  <si>
    <t xml:space="preserve">Цилиндровый механизм 60 мм ключ/ключ, латунь, 5 ключей</t>
  </si>
  <si>
    <t xml:space="preserve">8301 60 000 9</t>
  </si>
  <si>
    <t xml:space="preserve">Цилиндровый механизм 60 мм ключ/вертушка, латунь</t>
  </si>
  <si>
    <t xml:space="preserve">Фиксатор WC (поворотник + индикатор), цинк</t>
  </si>
  <si>
    <t xml:space="preserve">Петля-бабочка 100×75×2,5 мм, сталь (компл. 2 шт)</t>
  </si>
  <si>
    <t xml:space="preserve">8302 10 000 0</t>
  </si>
  <si>
    <t xml:space="preserve">Петля врезная 100×75, 2 подшипника, (компл. 2 шт)</t>
  </si>
  <si>
    <t xml:space="preserve">Петля скрытая 3D для межкомнатных дверей до 60 кг</t>
  </si>
  <si>
    <t xml:space="preserve">Шпингалет накладной 100 мм</t>
  </si>
  <si>
    <t xml:space="preserve">Шпингалет торцевой врезной 200 мм</t>
  </si>
  <si>
    <t xml:space="preserve">Ограничитель (упор) дверной напольный/настенный</t>
  </si>
  <si>
    <t xml:space="preserve">Доводчик дверной до 60 кг</t>
  </si>
  <si>
    <t xml:space="preserve">8302 60 000 9</t>
  </si>
  <si>
    <t xml:space="preserve">Броненакладка на цилиндр</t>
  </si>
  <si>
    <t xml:space="preserve">ИТОГО</t>
  </si>
  <si>
    <t xml:space="preserve">Проверка</t>
  </si>
  <si>
    <t xml:space="preserve">Что</t>
  </si>
  <si>
    <t xml:space="preserve">Источник / допущение</t>
  </si>
  <si>
    <t xml:space="preserve">Пошлина 8302 41 (ручки, защёлки, фиксаторы, шпингалеты для дверей) — 10%</t>
  </si>
  <si>
    <t xml:space="preserve">alta.ru/tnved/code/8302419000 ; tws.by/tws/tnved/code/10389</t>
  </si>
  <si>
    <t xml:space="preserve">Пошлина 8301 40 (замки врезные) — 12%</t>
  </si>
  <si>
    <t xml:space="preserve">ifcg.ru/kb/tnved/8301401100 ; ifcg.ru/kb/tnved/8301401900</t>
  </si>
  <si>
    <t xml:space="preserve">Пошлина 8302 10 (петли) — 0%; 8302 60 000 9 (доводчики) — 10%; 8301 60 000 9 (цилиндры как части замков) — 15%</t>
  </si>
  <si>
    <t xml:space="preserve">tws.by/tws/tnved/code/10385 ; /10397 ; /10383</t>
  </si>
  <si>
    <t xml:space="preserve">Таможенный сбор 0,40% от там. стоимости</t>
  </si>
  <si>
    <t xml:space="preserve">Разъяснение ГТС КР, economist.kg, 03.04.2025</t>
  </si>
  <si>
    <t xml:space="preserve">НДС при импорте в КР — 12%</t>
  </si>
  <si>
    <t xml:space="preserve">Ставка НДС КР; режим условного начисления изменён пост. №565 от 20.08.2026 (economist.kg)</t>
  </si>
  <si>
    <t xml:space="preserve">Ручки на розетке, цинк: $1,8–4 за компл., премиум $5–10</t>
  </si>
  <si>
    <t xml:space="preserve">made-in-china.com (Handle Trends, Door Lock Handle), Global Sources</t>
  </si>
  <si>
    <t xml:space="preserve">Корпус врезного замка: от $1,56 (нерж., MOQ 600), 0,65 кг</t>
  </si>
  <si>
    <t xml:space="preserve">globalsources.com, Lock body 8545C-3</t>
  </si>
  <si>
    <t xml:space="preserve">Петли, цилиндры, защёлки, шпингалеты, доводчики</t>
  </si>
  <si>
    <t xml:space="preserve">Типовые FOB-цены фабрик Вэньчжоу/Гуандуна; уточнить по RFQ</t>
  </si>
  <si>
    <t xml:space="preserve">Фура $9 000</t>
  </si>
  <si>
    <t xml:space="preserve">Вес и объём ед. — с упаковкой (брутто)</t>
  </si>
  <si>
    <t xml:space="preserve">Оценка по типовым экспортным коробкам; уточнить по упаковочным листам фабрик</t>
  </si>
  <si>
    <t xml:space="preserve">Сертификация ЕАЭС</t>
  </si>
  <si>
    <t xml:space="preserve">В расчёт не включена — уточнить у брокера, нужна ли декларация/сертификат по позициям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</si>
</sst>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;\(#,##0\);\-"/>
    <numFmt numFmtId="166" formatCode="#,##0"/>
    <numFmt numFmtId="167" formatCode="0.0%;\(0.0%\);\-"/>
    <numFmt numFmtId="168" formatCode="0.0"/>
    <numFmt numFmtId="169" formatCode="#,##0.00;\(#,##0.00\);\-"/>
    <numFmt numFmtId="170" formatCode="0.00\x"/>
    <numFmt numFmtId="171" formatCode="#,##0.00"/>
    <numFmt numFmtId="172" formatCode="0.00%"/>
    <numFmt numFmtId="173" formatCode="0"/>
    <numFmt numFmtId="174" formatCode="0%"/>
    <numFmt numFmtId="175" formatCode="0.00"/>
    <numFmt numFmtId="176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595959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4" t="n">
        <f aca="false">Заказ!I25</f>
        <v>135765</v>
      </c>
      <c r="C4" s="5" t="n">
        <f aca="false">B4*Параметры!$B$5</f>
        <v>11879437.5</v>
      </c>
      <c r="D4" s="6" t="n">
        <f aca="false">IF($B$4=0,0,B4/$B$4)</f>
        <v>1</v>
      </c>
    </row>
    <row r="5" customFormat="false" ht="15" hidden="false" customHeight="false" outlineLevel="0" collapsed="false">
      <c r="A5" s="3" t="s">
        <v>6</v>
      </c>
      <c r="B5" s="4" t="n">
        <f aca="false">Заказ!N25</f>
        <v>9000</v>
      </c>
      <c r="C5" s="5" t="n">
        <f aca="false">B5*Параметры!$B$5</f>
        <v>787500</v>
      </c>
      <c r="D5" s="6" t="n">
        <f aca="false">IF($B$4=0,0,B5/$B$4)</f>
        <v>0.0662910175671197</v>
      </c>
    </row>
    <row r="6" customFormat="false" ht="15" hidden="false" customHeight="false" outlineLevel="0" collapsed="false">
      <c r="A6" s="3" t="s">
        <v>7</v>
      </c>
      <c r="B6" s="4" t="n">
        <f aca="false">Заказ!O25</f>
        <v>407.295</v>
      </c>
      <c r="C6" s="5" t="n">
        <f aca="false">B6*Параметры!$B$5</f>
        <v>35638.3125</v>
      </c>
      <c r="D6" s="6" t="n">
        <f aca="false">IF($B$4=0,0,B6/$B$4)</f>
        <v>0.003</v>
      </c>
    </row>
    <row r="7" customFormat="false" ht="15" hidden="false" customHeight="false" outlineLevel="0" collapsed="false">
      <c r="A7" s="3" t="s">
        <v>8</v>
      </c>
      <c r="B7" s="4" t="n">
        <f aca="false">Заказ!Q25</f>
        <v>13349.0895092282</v>
      </c>
      <c r="C7" s="5" t="n">
        <f aca="false">B7*Параметры!$B$5</f>
        <v>1168045.33205747</v>
      </c>
      <c r="D7" s="6" t="n">
        <f aca="false">IF($B$4=0,0,B7/$B$4)</f>
        <v>0.0983249696845891</v>
      </c>
    </row>
    <row r="8" customFormat="false" ht="15" hidden="false" customHeight="false" outlineLevel="0" collapsed="false">
      <c r="A8" s="3" t="s">
        <v>9</v>
      </c>
      <c r="B8" s="4" t="n">
        <f aca="false">Заказ!R25</f>
        <v>573.48918</v>
      </c>
      <c r="C8" s="5" t="n">
        <f aca="false">B8*Параметры!$B$5</f>
        <v>50180.30325</v>
      </c>
      <c r="D8" s="6" t="n">
        <f aca="false">IF($B$4=0,0,B8/$B$4)</f>
        <v>0.00422413125621478</v>
      </c>
    </row>
    <row r="9" customFormat="false" ht="15" hidden="false" customHeight="false" outlineLevel="0" collapsed="false">
      <c r="A9" s="3" t="s">
        <v>10</v>
      </c>
      <c r="B9" s="4" t="n">
        <f aca="false">Заказ!S25*Параметры!$B$13</f>
        <v>18806.5661411074</v>
      </c>
      <c r="C9" s="5" t="n">
        <f aca="false">B9*Параметры!$B$5</f>
        <v>1645574.5373469</v>
      </c>
      <c r="D9" s="6" t="n">
        <f aca="false">IF($B$4=0,0,B9/$B$4)</f>
        <v>0.138522934048594</v>
      </c>
    </row>
    <row r="10" customFormat="false" ht="15" hidden="false" customHeight="false" outlineLevel="0" collapsed="false">
      <c r="A10" s="3" t="s">
        <v>11</v>
      </c>
      <c r="B10" s="4" t="n">
        <f aca="false">Заказ!T25</f>
        <v>6830.6</v>
      </c>
      <c r="C10" s="5" t="n">
        <f aca="false">B10*Параметры!$B$5</f>
        <v>597677.5</v>
      </c>
      <c r="D10" s="6" t="n">
        <f aca="false">IF($B$4=0,0,B10/$B$4)</f>
        <v>0.0503119360659964</v>
      </c>
    </row>
    <row r="11" customFormat="false" ht="15" hidden="false" customHeight="false" outlineLevel="0" collapsed="false">
      <c r="A11" s="3" t="s">
        <v>12</v>
      </c>
      <c r="B11" s="4" t="n">
        <f aca="false">Заказ!U25</f>
        <v>5541.96119491007</v>
      </c>
      <c r="C11" s="5" t="n">
        <f aca="false">B11*Параметры!$B$5</f>
        <v>484921.604554631</v>
      </c>
      <c r="D11" s="6" t="n">
        <f aca="false">IF($B$4=0,0,B11/$B$4)</f>
        <v>0.0408202496586754</v>
      </c>
    </row>
    <row r="12" customFormat="false" ht="15" hidden="false" customHeight="false" outlineLevel="0" collapsed="false">
      <c r="A12" s="7" t="s">
        <v>13</v>
      </c>
      <c r="B12" s="8" t="n">
        <f aca="false">SUM(B4:B11)</f>
        <v>190274.001025246</v>
      </c>
      <c r="C12" s="9" t="n">
        <f aca="false">B12*Параметры!$B$5</f>
        <v>16648975.089709</v>
      </c>
      <c r="D12" s="10" t="n">
        <f aca="false">IF($B$4=0,0,B12/$B$4)</f>
        <v>1.40149523828119</v>
      </c>
    </row>
    <row r="13" customFormat="false" ht="15" hidden="false" customHeight="false" outlineLevel="0" collapsed="false">
      <c r="A13" s="0" t="s">
        <v>14</v>
      </c>
      <c r="B13" s="11" t="n">
        <f aca="false">Заказ!S25</f>
        <v>18806.5661411074</v>
      </c>
      <c r="C13" s="12" t="n">
        <f aca="false">B13*Параметры!$B$5</f>
        <v>1645574.5373469</v>
      </c>
    </row>
    <row r="14" customFormat="false" ht="15" hidden="false" customHeight="false" outlineLevel="0" collapsed="false">
      <c r="A14" s="13" t="s">
        <v>15</v>
      </c>
      <c r="B14" s="14" t="n">
        <f aca="false">B12+Заказ!S25*(1-Параметры!$B$13)</f>
        <v>190274.001025246</v>
      </c>
      <c r="C14" s="12" t="n">
        <f aca="false">B14*Параметры!$B$5</f>
        <v>16648975.089709</v>
      </c>
    </row>
    <row r="16" customFormat="false" ht="15" hidden="false" customHeight="false" outlineLevel="0" collapsed="false">
      <c r="A16" s="2" t="s">
        <v>16</v>
      </c>
      <c r="B16" s="15"/>
    </row>
    <row r="17" customFormat="false" ht="15" hidden="false" customHeight="false" outlineLevel="0" collapsed="false">
      <c r="A17" s="3" t="s">
        <v>17</v>
      </c>
      <c r="B17" s="16" t="n">
        <f aca="false">Заказ!K25</f>
        <v>19462</v>
      </c>
    </row>
    <row r="18" customFormat="false" ht="15" hidden="false" customHeight="false" outlineLevel="0" collapsed="false">
      <c r="A18" s="3" t="s">
        <v>18</v>
      </c>
      <c r="B18" s="6" t="n">
        <f aca="false">Заказ!K25/Параметры!$B$7</f>
        <v>0.9731</v>
      </c>
    </row>
    <row r="19" customFormat="false" ht="15" hidden="false" customHeight="false" outlineLevel="0" collapsed="false">
      <c r="A19" s="3" t="s">
        <v>19</v>
      </c>
      <c r="B19" s="17" t="n">
        <f aca="false">Заказ!M25</f>
        <v>55.11</v>
      </c>
    </row>
    <row r="20" customFormat="false" ht="15" hidden="false" customHeight="false" outlineLevel="0" collapsed="false">
      <c r="A20" s="3" t="s">
        <v>20</v>
      </c>
      <c r="B20" s="6" t="n">
        <f aca="false">Заказ!M25/Параметры!$B$8</f>
        <v>0.640813953488372</v>
      </c>
    </row>
    <row r="21" customFormat="false" ht="15" hidden="false" customHeight="false" outlineLevel="0" collapsed="false">
      <c r="A21" s="3" t="s">
        <v>21</v>
      </c>
      <c r="B21" s="16" t="n">
        <f aca="false">Заказ!G25</f>
        <v>57300</v>
      </c>
    </row>
    <row r="22" customFormat="false" ht="15" hidden="false" customHeight="false" outlineLevel="0" collapsed="false">
      <c r="A22" s="3" t="s">
        <v>22</v>
      </c>
      <c r="B22" s="18" t="n">
        <f aca="false">Заказ!N25/Заказ!K25</f>
        <v>0.462439625937725</v>
      </c>
    </row>
    <row r="23" customFormat="false" ht="15" hidden="false" customHeight="false" outlineLevel="0" collapsed="false">
      <c r="A23" s="3" t="s">
        <v>23</v>
      </c>
      <c r="B23" s="16" t="n">
        <f aca="false">Заказ!Q25+Заказ!R25+Заказ!S25</f>
        <v>32729.1448303356</v>
      </c>
    </row>
    <row r="24" customFormat="false" ht="15" hidden="false" customHeight="false" outlineLevel="0" collapsed="false">
      <c r="A24" s="3" t="s">
        <v>24</v>
      </c>
      <c r="B24" s="19" t="n">
        <f aca="false">B12/B4</f>
        <v>1.40149523828119</v>
      </c>
    </row>
    <row r="25" customFormat="false" ht="15" hidden="false" customHeight="false" outlineLevel="0" collapsed="false">
      <c r="A25" s="3" t="s">
        <v>25</v>
      </c>
      <c r="B25" s="16" t="n">
        <f aca="false">B12*(1+Параметры!$B$20)</f>
        <v>256869.901384082</v>
      </c>
    </row>
    <row r="26" customFormat="false" ht="15" hidden="false" customHeight="false" outlineLevel="0" collapsed="false">
      <c r="A26" s="3" t="s">
        <v>26</v>
      </c>
      <c r="B26" s="16" t="n">
        <f aca="false">B12*Параметры!$B$20</f>
        <v>66595.900358836</v>
      </c>
    </row>
    <row r="29" customFormat="false" ht="15" hidden="false" customHeight="false" outlineLevel="0" collapsed="false">
      <c r="A29" s="2" t="s">
        <v>27</v>
      </c>
      <c r="B29" s="2" t="s">
        <v>28</v>
      </c>
      <c r="C29" s="2" t="s">
        <v>29</v>
      </c>
      <c r="D29" s="2" t="s">
        <v>30</v>
      </c>
    </row>
    <row r="30" customFormat="false" ht="15" hidden="false" customHeight="false" outlineLevel="0" collapsed="false">
      <c r="A30" s="3" t="s">
        <v>31</v>
      </c>
      <c r="B30" s="20" t="n">
        <f aca="false">SUMIF(Заказ!$B$5:$B$24,A30,Заказ!$I$5:$I$24)</f>
        <v>38230</v>
      </c>
      <c r="C30" s="20" t="n">
        <f aca="false">SUMIF(Заказ!$B$5:$B$24,A30,Заказ!$V$5:$V$24)</f>
        <v>53548.9156967694</v>
      </c>
      <c r="D30" s="20" t="n">
        <f aca="false">SUMIF(Заказ!$B$5:$B$24,A30,Заказ!$K$5:$K$24)</f>
        <v>4860</v>
      </c>
    </row>
    <row r="31" customFormat="false" ht="15" hidden="false" customHeight="false" outlineLevel="0" collapsed="false">
      <c r="A31" s="3" t="s">
        <v>32</v>
      </c>
      <c r="B31" s="20" t="n">
        <f aca="false">SUMIF(Заказ!$B$5:$B$24,A31,Заказ!$I$5:$I$24)</f>
        <v>21760</v>
      </c>
      <c r="C31" s="20" t="n">
        <f aca="false">SUMIF(Заказ!$B$5:$B$24,A31,Заказ!$V$5:$V$24)</f>
        <v>30441.8086432223</v>
      </c>
      <c r="D31" s="20" t="n">
        <f aca="false">SUMIF(Заказ!$B$5:$B$24,A31,Заказ!$K$5:$K$24)</f>
        <v>2700</v>
      </c>
    </row>
    <row r="32" customFormat="false" ht="15" hidden="false" customHeight="false" outlineLevel="0" collapsed="false">
      <c r="A32" s="3" t="s">
        <v>33</v>
      </c>
      <c r="B32" s="20" t="n">
        <f aca="false">SUMIF(Заказ!$B$5:$B$24,A32,Заказ!$I$5:$I$24)</f>
        <v>22180</v>
      </c>
      <c r="C32" s="20" t="n">
        <f aca="false">SUMIF(Заказ!$B$5:$B$24,A32,Заказ!$V$5:$V$24)</f>
        <v>31855.1901485462</v>
      </c>
      <c r="D32" s="20" t="n">
        <f aca="false">SUMIF(Заказ!$B$5:$B$24,A32,Заказ!$K$5:$K$24)</f>
        <v>3255</v>
      </c>
    </row>
    <row r="33" customFormat="false" ht="15" hidden="false" customHeight="false" outlineLevel="0" collapsed="false">
      <c r="A33" s="3" t="s">
        <v>34</v>
      </c>
      <c r="B33" s="20" t="n">
        <f aca="false">SUMIF(Заказ!$B$5:$B$24,A33,Заказ!$I$5:$I$24)</f>
        <v>16840</v>
      </c>
      <c r="C33" s="20" t="n">
        <f aca="false">SUMIF(Заказ!$B$5:$B$24,A33,Заказ!$V$5:$V$24)</f>
        <v>24099.6504156378</v>
      </c>
      <c r="D33" s="20" t="n">
        <f aca="false">SUMIF(Заказ!$B$5:$B$24,A33,Заказ!$K$5:$K$24)</f>
        <v>1276</v>
      </c>
    </row>
    <row r="34" customFormat="false" ht="15" hidden="false" customHeight="false" outlineLevel="0" collapsed="false">
      <c r="A34" s="3" t="s">
        <v>35</v>
      </c>
      <c r="B34" s="20" t="n">
        <f aca="false">SUMIF(Заказ!$B$5:$B$24,A34,Заказ!$I$5:$I$24)</f>
        <v>3640</v>
      </c>
      <c r="C34" s="20" t="n">
        <f aca="false">SUMIF(Заказ!$B$5:$B$24,A34,Заказ!$V$5:$V$24)</f>
        <v>5057.37660721098</v>
      </c>
      <c r="D34" s="20" t="n">
        <f aca="false">SUMIF(Заказ!$B$5:$B$24,A34,Заказ!$K$5:$K$24)</f>
        <v>390</v>
      </c>
    </row>
    <row r="35" customFormat="false" ht="15" hidden="false" customHeight="false" outlineLevel="0" collapsed="false">
      <c r="A35" s="3" t="s">
        <v>36</v>
      </c>
      <c r="B35" s="20" t="n">
        <f aca="false">SUMIF(Заказ!$B$5:$B$24,A35,Заказ!$I$5:$I$24)</f>
        <v>21470</v>
      </c>
      <c r="C35" s="20" t="n">
        <f aca="false">SUMIF(Заказ!$B$5:$B$24,A35,Заказ!$V$5:$V$24)</f>
        <v>28475.3706789282</v>
      </c>
      <c r="D35" s="20" t="n">
        <f aca="false">SUMIF(Заказ!$B$5:$B$24,A35,Заказ!$K$5:$K$24)</f>
        <v>4645</v>
      </c>
    </row>
    <row r="36" customFormat="false" ht="15" hidden="false" customHeight="false" outlineLevel="0" collapsed="false">
      <c r="A36" s="3" t="s">
        <v>37</v>
      </c>
      <c r="B36" s="20" t="n">
        <f aca="false">SUMIF(Заказ!$B$5:$B$24,A36,Заказ!$I$5:$I$24)</f>
        <v>2745</v>
      </c>
      <c r="C36" s="20" t="n">
        <f aca="false">SUMIF(Заказ!$B$5:$B$24,A36,Заказ!$V$5:$V$24)</f>
        <v>3894.21880015871</v>
      </c>
      <c r="D36" s="20" t="n">
        <f aca="false">SUMIF(Заказ!$B$5:$B$24,A36,Заказ!$K$5:$K$24)</f>
        <v>436</v>
      </c>
    </row>
    <row r="37" customFormat="false" ht="15" hidden="false" customHeight="false" outlineLevel="0" collapsed="false">
      <c r="A37" s="3" t="s">
        <v>38</v>
      </c>
      <c r="B37" s="20" t="n">
        <f aca="false">SUMIF(Заказ!$B$5:$B$24,A37,Заказ!$I$5:$I$24)</f>
        <v>8900</v>
      </c>
      <c r="C37" s="20" t="n">
        <f aca="false">SUMIF(Заказ!$B$5:$B$24,A37,Заказ!$V$5:$V$24)</f>
        <v>12901.470034772</v>
      </c>
      <c r="D37" s="20" t="n">
        <f aca="false">SUMIF(Заказ!$B$5:$B$24,A37,Заказ!$K$5:$K$24)</f>
        <v>1900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4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1" t="s">
        <v>40</v>
      </c>
    </row>
    <row r="4" customFormat="false" ht="15" hidden="false" customHeight="false" outlineLevel="0" collapsed="false">
      <c r="A4" s="2" t="s">
        <v>41</v>
      </c>
      <c r="B4" s="2" t="s">
        <v>42</v>
      </c>
      <c r="C4" s="2" t="s">
        <v>43</v>
      </c>
    </row>
    <row r="5" customFormat="false" ht="15" hidden="false" customHeight="false" outlineLevel="0" collapsed="false">
      <c r="A5" s="3" t="s">
        <v>44</v>
      </c>
      <c r="B5" s="22" t="n">
        <v>87.5</v>
      </c>
      <c r="C5" s="23" t="s">
        <v>45</v>
      </c>
    </row>
    <row r="6" customFormat="false" ht="15" hidden="false" customHeight="false" outlineLevel="0" collapsed="false">
      <c r="A6" s="3" t="s">
        <v>46</v>
      </c>
      <c r="B6" s="24" t="n">
        <v>9000</v>
      </c>
      <c r="C6" s="23" t="s">
        <v>47</v>
      </c>
    </row>
    <row r="7" customFormat="false" ht="15" hidden="false" customHeight="false" outlineLevel="0" collapsed="false">
      <c r="A7" s="3" t="s">
        <v>48</v>
      </c>
      <c r="B7" s="24" t="n">
        <v>20000</v>
      </c>
      <c r="C7" s="23" t="s">
        <v>49</v>
      </c>
    </row>
    <row r="8" customFormat="false" ht="15" hidden="false" customHeight="false" outlineLevel="0" collapsed="false">
      <c r="A8" s="3" t="s">
        <v>50</v>
      </c>
      <c r="B8" s="25" t="n">
        <v>86</v>
      </c>
      <c r="C8" s="23" t="s">
        <v>51</v>
      </c>
    </row>
    <row r="9" customFormat="false" ht="15" hidden="false" customHeight="false" outlineLevel="0" collapsed="false">
      <c r="A9" s="3" t="s">
        <v>52</v>
      </c>
      <c r="B9" s="26" t="n">
        <v>0.8</v>
      </c>
      <c r="C9" s="23" t="s">
        <v>53</v>
      </c>
    </row>
    <row r="10" customFormat="false" ht="15" hidden="false" customHeight="false" outlineLevel="0" collapsed="false">
      <c r="A10" s="3" t="s">
        <v>54</v>
      </c>
      <c r="B10" s="27" t="n">
        <v>0.003</v>
      </c>
      <c r="C10" s="23" t="s">
        <v>55</v>
      </c>
    </row>
    <row r="11" customFormat="false" ht="15" hidden="false" customHeight="false" outlineLevel="0" collapsed="false">
      <c r="A11" s="3" t="s">
        <v>56</v>
      </c>
      <c r="B11" s="27" t="n">
        <v>0.004</v>
      </c>
      <c r="C11" s="23" t="s">
        <v>57</v>
      </c>
    </row>
    <row r="12" customFormat="false" ht="15" hidden="false" customHeight="false" outlineLevel="0" collapsed="false">
      <c r="A12" s="3" t="s">
        <v>58</v>
      </c>
      <c r="B12" s="26" t="n">
        <v>0.12</v>
      </c>
      <c r="C12" s="23" t="s">
        <v>59</v>
      </c>
    </row>
    <row r="13" customFormat="false" ht="15" hidden="false" customHeight="false" outlineLevel="0" collapsed="false">
      <c r="A13" s="3" t="s">
        <v>60</v>
      </c>
      <c r="B13" s="28" t="n">
        <v>1</v>
      </c>
      <c r="C13" s="23" t="s">
        <v>61</v>
      </c>
    </row>
    <row r="14" customFormat="false" ht="15" hidden="false" customHeight="false" outlineLevel="0" collapsed="false">
      <c r="A14" s="3" t="s">
        <v>62</v>
      </c>
      <c r="B14" s="24" t="n">
        <v>500</v>
      </c>
      <c r="C14" s="23" t="s">
        <v>63</v>
      </c>
    </row>
    <row r="15" customFormat="false" ht="15" hidden="false" customHeight="false" outlineLevel="0" collapsed="false">
      <c r="A15" s="3" t="s">
        <v>64</v>
      </c>
      <c r="B15" s="24" t="n">
        <v>400</v>
      </c>
      <c r="C15" s="23" t="s">
        <v>65</v>
      </c>
    </row>
    <row r="16" customFormat="false" ht="15" hidden="false" customHeight="false" outlineLevel="0" collapsed="false">
      <c r="A16" s="3" t="s">
        <v>66</v>
      </c>
      <c r="B16" s="26" t="n">
        <v>0.01</v>
      </c>
      <c r="C16" s="23" t="s">
        <v>67</v>
      </c>
    </row>
    <row r="17" customFormat="false" ht="15" hidden="false" customHeight="false" outlineLevel="0" collapsed="false">
      <c r="A17" s="3" t="s">
        <v>68</v>
      </c>
      <c r="B17" s="26" t="n">
        <v>0.03</v>
      </c>
      <c r="C17" s="23" t="s">
        <v>69</v>
      </c>
    </row>
    <row r="18" customFormat="false" ht="15" hidden="false" customHeight="false" outlineLevel="0" collapsed="false">
      <c r="A18" s="3" t="s">
        <v>70</v>
      </c>
      <c r="B18" s="24" t="n">
        <v>500</v>
      </c>
      <c r="C18" s="23" t="s">
        <v>65</v>
      </c>
    </row>
    <row r="19" customFormat="false" ht="15" hidden="false" customHeight="false" outlineLevel="0" collapsed="false">
      <c r="A19" s="3" t="s">
        <v>71</v>
      </c>
      <c r="B19" s="26" t="n">
        <v>0.03</v>
      </c>
      <c r="C19" s="23" t="s">
        <v>72</v>
      </c>
    </row>
    <row r="20" customFormat="false" ht="15" hidden="false" customHeight="false" outlineLevel="0" collapsed="false">
      <c r="A20" s="3" t="s">
        <v>73</v>
      </c>
      <c r="B20" s="26" t="n">
        <v>0.35</v>
      </c>
      <c r="C20" s="2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4" min="4" style="0" width="15"/>
    <col collapsed="false" customWidth="true" hidden="false" outlineLevel="0" max="5" min="5" style="0" width="9"/>
    <col collapsed="false" customWidth="true" hidden="false" outlineLevel="0" max="6" min="6" style="0" width="7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3" min="12" style="0" width="9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7" min="17" style="0" width="10"/>
    <col collapsed="false" customWidth="true" hidden="false" outlineLevel="0" max="18" min="18" style="0" width="9"/>
    <col collapsed="false" customWidth="true" hidden="false" outlineLevel="0" max="19" min="19" style="0" width="10"/>
    <col collapsed="false" customWidth="true" hidden="false" outlineLevel="0" max="20" min="20" style="0" width="11"/>
    <col collapsed="false" customWidth="true" hidden="false" outlineLevel="0" max="21" min="21" style="0" width="9"/>
    <col collapsed="false" customWidth="true" hidden="false" outlineLevel="0" max="22" min="22" style="0" width="13"/>
    <col collapsed="false" customWidth="true" hidden="false" outlineLevel="0" max="25" min="23" style="0" width="10"/>
    <col collapsed="false" customWidth="true" hidden="false" outlineLevel="0" max="26" min="26" style="0" width="9"/>
  </cols>
  <sheetData>
    <row r="1" customFormat="false" ht="17.35" hidden="false" customHeight="false" outlineLevel="0" collapsed="false">
      <c r="A1" s="1" t="s">
        <v>75</v>
      </c>
    </row>
    <row r="2" customFormat="false" ht="15" hidden="false" customHeight="false" outlineLevel="0" collapsed="false">
      <c r="A2" s="21" t="s">
        <v>76</v>
      </c>
    </row>
    <row r="4" customFormat="false" ht="45" hidden="false" customHeight="true" outlineLevel="0" collapsed="false">
      <c r="A4" s="29" t="s">
        <v>77</v>
      </c>
      <c r="B4" s="29" t="s">
        <v>78</v>
      </c>
      <c r="C4" s="29" t="s">
        <v>79</v>
      </c>
      <c r="D4" s="29" t="s">
        <v>80</v>
      </c>
      <c r="E4" s="29" t="s">
        <v>81</v>
      </c>
      <c r="F4" s="29" t="s">
        <v>82</v>
      </c>
      <c r="G4" s="29" t="s">
        <v>83</v>
      </c>
      <c r="H4" s="29" t="s">
        <v>84</v>
      </c>
      <c r="I4" s="29" t="s">
        <v>85</v>
      </c>
      <c r="J4" s="29" t="s">
        <v>86</v>
      </c>
      <c r="K4" s="29" t="s">
        <v>87</v>
      </c>
      <c r="L4" s="29" t="s">
        <v>88</v>
      </c>
      <c r="M4" s="29" t="s">
        <v>89</v>
      </c>
      <c r="N4" s="29" t="s">
        <v>90</v>
      </c>
      <c r="O4" s="29" t="s">
        <v>91</v>
      </c>
      <c r="P4" s="29" t="s">
        <v>92</v>
      </c>
      <c r="Q4" s="29" t="s">
        <v>93</v>
      </c>
      <c r="R4" s="29" t="s">
        <v>94</v>
      </c>
      <c r="S4" s="29" t="s">
        <v>95</v>
      </c>
      <c r="T4" s="29" t="s">
        <v>96</v>
      </c>
      <c r="U4" s="29" t="s">
        <v>97</v>
      </c>
      <c r="V4" s="29" t="s">
        <v>98</v>
      </c>
      <c r="W4" s="29" t="s">
        <v>99</v>
      </c>
      <c r="X4" s="29" t="s">
        <v>100</v>
      </c>
      <c r="Y4" s="29" t="s">
        <v>101</v>
      </c>
      <c r="Z4" s="29" t="s">
        <v>102</v>
      </c>
    </row>
    <row r="5" customFormat="false" ht="15" hidden="false" customHeight="false" outlineLevel="0" collapsed="false">
      <c r="A5" s="3" t="n">
        <v>1</v>
      </c>
      <c r="B5" s="3" t="s">
        <v>31</v>
      </c>
      <c r="C5" s="3" t="s">
        <v>103</v>
      </c>
      <c r="D5" s="3" t="s">
        <v>104</v>
      </c>
      <c r="E5" s="30" t="n">
        <v>0.1</v>
      </c>
      <c r="F5" s="3" t="s">
        <v>105</v>
      </c>
      <c r="G5" s="24" t="n">
        <v>5300</v>
      </c>
      <c r="H5" s="31" t="n">
        <v>2.8</v>
      </c>
      <c r="I5" s="20" t="n">
        <f aca="false">G5*H5</f>
        <v>14840</v>
      </c>
      <c r="J5" s="32" t="n">
        <v>0.4</v>
      </c>
      <c r="K5" s="20" t="n">
        <f aca="false">G5*J5</f>
        <v>2120</v>
      </c>
      <c r="L5" s="33" t="n">
        <v>0.0018</v>
      </c>
      <c r="M5" s="34" t="n">
        <f aca="false">G5*L5</f>
        <v>9.54</v>
      </c>
      <c r="N5" s="20" t="n">
        <f aca="false">IF($K$25=0,0,K5/$K$25*Параметры!$B$6)</f>
        <v>980.372006987977</v>
      </c>
      <c r="O5" s="20" t="n">
        <f aca="false">I5*Параметры!$B$10</f>
        <v>44.52</v>
      </c>
      <c r="P5" s="20" t="n">
        <f aca="false">I5+N5*Параметры!$B$9+O5</f>
        <v>15668.8176055904</v>
      </c>
      <c r="Q5" s="20" t="n">
        <f aca="false">P5*E5</f>
        <v>1566.88176055904</v>
      </c>
      <c r="R5" s="20" t="n">
        <f aca="false">P5*Параметры!$B$11</f>
        <v>62.6752704223615</v>
      </c>
      <c r="S5" s="20" t="n">
        <f aca="false">(P5+Q5)*Параметры!$B$12</f>
        <v>2068.28392393793</v>
      </c>
      <c r="T5" s="20" t="n">
        <f aca="false">IF($I$25=0,0,I5/$I$25*(Параметры!$B$14+Параметры!$B$15+Параметры!$B$18))+I5*(Параметры!$B$16+Параметры!$B$17)</f>
        <v>746.629131219386</v>
      </c>
      <c r="U5" s="20" t="n">
        <f aca="false">(I5+N5+O5+Q5+R5+S5*Параметры!$B$13+T5)*Параметры!$B$19</f>
        <v>609.280862793801</v>
      </c>
      <c r="V5" s="20" t="n">
        <f aca="false">I5+N5+O5+Q5+R5+S5*Параметры!$B$13+T5+U5</f>
        <v>20918.6429559205</v>
      </c>
      <c r="W5" s="35" t="n">
        <f aca="false">IF(G5=0,0,V5/G5)</f>
        <v>3.94691376526802</v>
      </c>
      <c r="X5" s="36" t="n">
        <f aca="false">W5*Параметры!$B$5</f>
        <v>345.354954460952</v>
      </c>
      <c r="Y5" s="36" t="n">
        <f aca="false">X5*(1+Параметры!$B$20)</f>
        <v>466.229188522285</v>
      </c>
      <c r="Z5" s="37" t="n">
        <f aca="false">IF(H5=0,0,W5/H5)</f>
        <v>1.40961205902429</v>
      </c>
    </row>
    <row r="6" customFormat="false" ht="15" hidden="false" customHeight="false" outlineLevel="0" collapsed="false">
      <c r="A6" s="3" t="n">
        <v>2</v>
      </c>
      <c r="B6" s="3" t="s">
        <v>31</v>
      </c>
      <c r="C6" s="3" t="s">
        <v>106</v>
      </c>
      <c r="D6" s="3" t="s">
        <v>104</v>
      </c>
      <c r="E6" s="30" t="n">
        <v>0.1</v>
      </c>
      <c r="F6" s="3" t="s">
        <v>105</v>
      </c>
      <c r="G6" s="24" t="n">
        <v>2600</v>
      </c>
      <c r="H6" s="31" t="n">
        <v>5.5</v>
      </c>
      <c r="I6" s="20" t="n">
        <f aca="false">G6*H6</f>
        <v>14300</v>
      </c>
      <c r="J6" s="32" t="n">
        <v>0.55</v>
      </c>
      <c r="K6" s="20" t="n">
        <f aca="false">G6*J6</f>
        <v>1430</v>
      </c>
      <c r="L6" s="33" t="n">
        <v>0.0024</v>
      </c>
      <c r="M6" s="34" t="n">
        <f aca="false">G6*L6</f>
        <v>6.24</v>
      </c>
      <c r="N6" s="20" t="n">
        <f aca="false">IF($K$25=0,0,K6/$K$25*Параметры!$B$6)</f>
        <v>661.288665090947</v>
      </c>
      <c r="O6" s="20" t="n">
        <f aca="false">I6*Параметры!$B$10</f>
        <v>42.9</v>
      </c>
      <c r="P6" s="20" t="n">
        <f aca="false">I6+N6*Параметры!$B$9+O6</f>
        <v>14871.9309320728</v>
      </c>
      <c r="Q6" s="20" t="n">
        <f aca="false">P6*E6</f>
        <v>1487.19309320728</v>
      </c>
      <c r="R6" s="20" t="n">
        <f aca="false">P6*Параметры!$B$11</f>
        <v>59.487723728291</v>
      </c>
      <c r="S6" s="20" t="n">
        <f aca="false">(P6+Q6)*Параметры!$B$12</f>
        <v>1963.0948830336</v>
      </c>
      <c r="T6" s="20" t="n">
        <f aca="false">IF($I$25=0,0,I6/$I$25*(Параметры!$B$14+Параметры!$B$15+Параметры!$B$18))+I6*(Параметры!$B$16+Параметры!$B$17)</f>
        <v>719.460685743748</v>
      </c>
      <c r="U6" s="20" t="n">
        <f aca="false">(I6+N6+O6+Q6+R6+S6*Параметры!$B$13+T6)*Параметры!$B$19</f>
        <v>577.002751524116</v>
      </c>
      <c r="V6" s="20" t="n">
        <f aca="false">I6+N6+O6+Q6+R6+S6*Параметры!$B$13+T6+U6</f>
        <v>19810.427802328</v>
      </c>
      <c r="W6" s="35" t="n">
        <f aca="false">IF(G6=0,0,V6/G6)</f>
        <v>7.61939530858769</v>
      </c>
      <c r="X6" s="36" t="n">
        <f aca="false">W6*Параметры!$B$5</f>
        <v>666.697089501423</v>
      </c>
      <c r="Y6" s="36" t="n">
        <f aca="false">X6*(1+Параметры!$B$20)</f>
        <v>900.04107082692</v>
      </c>
      <c r="Z6" s="37" t="n">
        <f aca="false">IF(H6=0,0,W6/H6)</f>
        <v>1.3853446015614</v>
      </c>
    </row>
    <row r="7" customFormat="false" ht="15" hidden="false" customHeight="false" outlineLevel="0" collapsed="false">
      <c r="A7" s="3" t="n">
        <v>3</v>
      </c>
      <c r="B7" s="3" t="s">
        <v>31</v>
      </c>
      <c r="C7" s="3" t="s">
        <v>107</v>
      </c>
      <c r="D7" s="3" t="s">
        <v>104</v>
      </c>
      <c r="E7" s="30" t="n">
        <v>0.1</v>
      </c>
      <c r="F7" s="3" t="s">
        <v>105</v>
      </c>
      <c r="G7" s="24" t="n">
        <v>1300</v>
      </c>
      <c r="H7" s="31" t="n">
        <v>4.5</v>
      </c>
      <c r="I7" s="20" t="n">
        <f aca="false">G7*H7</f>
        <v>5850</v>
      </c>
      <c r="J7" s="32" t="n">
        <v>0.8</v>
      </c>
      <c r="K7" s="20" t="n">
        <f aca="false">G7*J7</f>
        <v>1040</v>
      </c>
      <c r="L7" s="33" t="n">
        <v>0.003</v>
      </c>
      <c r="M7" s="34" t="n">
        <f aca="false">G7*L7</f>
        <v>3.9</v>
      </c>
      <c r="N7" s="20" t="n">
        <f aca="false">IF($K$25=0,0,K7/$K$25*Параметры!$B$6)</f>
        <v>480.937210975234</v>
      </c>
      <c r="O7" s="20" t="n">
        <f aca="false">I7*Параметры!$B$10</f>
        <v>17.55</v>
      </c>
      <c r="P7" s="20" t="n">
        <f aca="false">I7+N7*Параметры!$B$9+O7</f>
        <v>6252.29976878019</v>
      </c>
      <c r="Q7" s="20" t="n">
        <f aca="false">P7*E7</f>
        <v>625.229976878019</v>
      </c>
      <c r="R7" s="20" t="n">
        <f aca="false">P7*Параметры!$B$11</f>
        <v>25.0091990751207</v>
      </c>
      <c r="S7" s="20" t="n">
        <f aca="false">(P7+Q7)*Параметры!$B$12</f>
        <v>825.303569478985</v>
      </c>
      <c r="T7" s="20" t="n">
        <f aca="false">IF($I$25=0,0,I7/$I$25*(Параметры!$B$14+Параметры!$B$15+Параметры!$B$18))+I7*(Параметры!$B$16+Параметры!$B$17)</f>
        <v>294.324825986079</v>
      </c>
      <c r="U7" s="20" t="n">
        <f aca="false">(I7+N7+O7+Q7+R7+S7*Параметры!$B$13+T7)*Параметры!$B$19</f>
        <v>243.550643471803</v>
      </c>
      <c r="V7" s="20" t="n">
        <f aca="false">I7+N7+O7+Q7+R7+S7*Параметры!$B$13+T7+U7</f>
        <v>8361.90542586524</v>
      </c>
      <c r="W7" s="35" t="n">
        <f aca="false">IF(G7=0,0,V7/G7)</f>
        <v>6.43223494297326</v>
      </c>
      <c r="X7" s="36" t="n">
        <f aca="false">W7*Параметры!$B$5</f>
        <v>562.82055751016</v>
      </c>
      <c r="Y7" s="36" t="n">
        <f aca="false">X7*(1+Параметры!$B$20)</f>
        <v>759.807752638717</v>
      </c>
      <c r="Z7" s="37" t="n">
        <f aca="false">IF(H7=0,0,W7/H7)</f>
        <v>1.42938554288295</v>
      </c>
    </row>
    <row r="8" customFormat="false" ht="15" hidden="false" customHeight="false" outlineLevel="0" collapsed="false">
      <c r="A8" s="3" t="n">
        <v>4</v>
      </c>
      <c r="B8" s="3" t="s">
        <v>31</v>
      </c>
      <c r="C8" s="3" t="s">
        <v>108</v>
      </c>
      <c r="D8" s="3" t="s">
        <v>104</v>
      </c>
      <c r="E8" s="30" t="n">
        <v>0.1</v>
      </c>
      <c r="F8" s="3" t="s">
        <v>109</v>
      </c>
      <c r="G8" s="24" t="n">
        <v>1800</v>
      </c>
      <c r="H8" s="31" t="n">
        <v>1.8</v>
      </c>
      <c r="I8" s="20" t="n">
        <f aca="false">G8*H8</f>
        <v>3240</v>
      </c>
      <c r="J8" s="32" t="n">
        <v>0.15</v>
      </c>
      <c r="K8" s="20" t="n">
        <f aca="false">G8*J8</f>
        <v>270</v>
      </c>
      <c r="L8" s="33" t="n">
        <v>0.0006</v>
      </c>
      <c r="M8" s="34" t="n">
        <f aca="false">G8*L8</f>
        <v>1.08</v>
      </c>
      <c r="N8" s="20" t="n">
        <f aca="false">IF($K$25=0,0,K8/$K$25*Параметры!$B$6)</f>
        <v>124.858699003186</v>
      </c>
      <c r="O8" s="20" t="n">
        <f aca="false">I8*Параметры!$B$10</f>
        <v>9.72</v>
      </c>
      <c r="P8" s="20" t="n">
        <f aca="false">I8+N8*Параметры!$B$9+O8</f>
        <v>3349.60695920255</v>
      </c>
      <c r="Q8" s="20" t="n">
        <f aca="false">P8*E8</f>
        <v>334.960695920255</v>
      </c>
      <c r="R8" s="20" t="n">
        <f aca="false">P8*Параметры!$B$11</f>
        <v>13.3984278368102</v>
      </c>
      <c r="S8" s="20" t="n">
        <f aca="false">(P8+Q8)*Параметры!$B$12</f>
        <v>442.148118614736</v>
      </c>
      <c r="T8" s="20" t="n">
        <f aca="false">IF($I$25=0,0,I8/$I$25*(Параметры!$B$14+Параметры!$B$15+Параметры!$B$18))+I8*(Параметры!$B$16+Параметры!$B$17)</f>
        <v>163.010672853828</v>
      </c>
      <c r="U8" s="20" t="n">
        <f aca="false">(I8+N8+O8+Q8+R8+S8*Параметры!$B$13+T8)*Параметры!$B$19</f>
        <v>129.842898426864</v>
      </c>
      <c r="V8" s="20" t="n">
        <f aca="false">I8+N8+O8+Q8+R8+S8*Параметры!$B$13+T8+U8</f>
        <v>4457.93951265568</v>
      </c>
      <c r="W8" s="35" t="n">
        <f aca="false">IF(G8=0,0,V8/G8)</f>
        <v>2.47663306258649</v>
      </c>
      <c r="X8" s="36" t="n">
        <f aca="false">W8*Параметры!$B$5</f>
        <v>216.705392976318</v>
      </c>
      <c r="Y8" s="36" t="n">
        <f aca="false">X8*(1+Параметры!$B$20)</f>
        <v>292.552280518029</v>
      </c>
      <c r="Z8" s="37" t="n">
        <f aca="false">IF(H8=0,0,W8/H8)</f>
        <v>1.37590725699249</v>
      </c>
    </row>
    <row r="9" customFormat="false" ht="15" hidden="false" customHeight="false" outlineLevel="0" collapsed="false">
      <c r="A9" s="3" t="n">
        <v>5</v>
      </c>
      <c r="B9" s="3" t="s">
        <v>32</v>
      </c>
      <c r="C9" s="3" t="s">
        <v>110</v>
      </c>
      <c r="D9" s="3" t="s">
        <v>104</v>
      </c>
      <c r="E9" s="30" t="n">
        <v>0.1</v>
      </c>
      <c r="F9" s="3" t="s">
        <v>109</v>
      </c>
      <c r="G9" s="24" t="n">
        <v>6600</v>
      </c>
      <c r="H9" s="31" t="n">
        <v>1.6</v>
      </c>
      <c r="I9" s="20" t="n">
        <f aca="false">G9*H9</f>
        <v>10560</v>
      </c>
      <c r="J9" s="32" t="n">
        <v>0.25</v>
      </c>
      <c r="K9" s="20" t="n">
        <f aca="false">G9*J9</f>
        <v>1650</v>
      </c>
      <c r="L9" s="33" t="n">
        <v>0.0008</v>
      </c>
      <c r="M9" s="34" t="n">
        <f aca="false">G9*L9</f>
        <v>5.28</v>
      </c>
      <c r="N9" s="20" t="n">
        <f aca="false">IF($K$25=0,0,K9/$K$25*Параметры!$B$6)</f>
        <v>763.025382797246</v>
      </c>
      <c r="O9" s="20" t="n">
        <f aca="false">I9*Параметры!$B$10</f>
        <v>31.68</v>
      </c>
      <c r="P9" s="20" t="n">
        <f aca="false">I9+N9*Параметры!$B$9+O9</f>
        <v>11202.1003062378</v>
      </c>
      <c r="Q9" s="20" t="n">
        <f aca="false">P9*E9</f>
        <v>1120.21003062378</v>
      </c>
      <c r="R9" s="20" t="n">
        <f aca="false">P9*Параметры!$B$11</f>
        <v>44.8084012249512</v>
      </c>
      <c r="S9" s="20" t="n">
        <f aca="false">(P9+Q9)*Параметры!$B$12</f>
        <v>1478.67724042339</v>
      </c>
      <c r="T9" s="20" t="n">
        <f aca="false">IF($I$25=0,0,I9/$I$25*(Параметры!$B$14+Параметры!$B$15+Параметры!$B$18))+I9*(Параметры!$B$16+Параметры!$B$17)</f>
        <v>531.294044856922</v>
      </c>
      <c r="U9" s="20" t="n">
        <f aca="false">(I9+N9+O9+Q9+R9+S9*Параметры!$B$13+T9)*Параметры!$B$19</f>
        <v>435.890852997789</v>
      </c>
      <c r="V9" s="20" t="n">
        <f aca="false">I9+N9+O9+Q9+R9+S9*Параметры!$B$13+T9+U9</f>
        <v>14965.5859529241</v>
      </c>
      <c r="W9" s="35" t="n">
        <f aca="false">IF(G9=0,0,V9/G9)</f>
        <v>2.26751302317031</v>
      </c>
      <c r="X9" s="36" t="n">
        <f aca="false">W9*Параметры!$B$5</f>
        <v>198.407389527403</v>
      </c>
      <c r="Y9" s="36" t="n">
        <f aca="false">X9*(1+Параметры!$B$20)</f>
        <v>267.849975861993</v>
      </c>
      <c r="Z9" s="37" t="n">
        <f aca="false">IF(H9=0,0,W9/H9)</f>
        <v>1.41719563948145</v>
      </c>
    </row>
    <row r="10" customFormat="false" ht="15" hidden="false" customHeight="false" outlineLevel="0" collapsed="false">
      <c r="A10" s="3" t="n">
        <v>6</v>
      </c>
      <c r="B10" s="3" t="s">
        <v>32</v>
      </c>
      <c r="C10" s="3" t="s">
        <v>111</v>
      </c>
      <c r="D10" s="3" t="s">
        <v>104</v>
      </c>
      <c r="E10" s="30" t="n">
        <v>0.1</v>
      </c>
      <c r="F10" s="3" t="s">
        <v>109</v>
      </c>
      <c r="G10" s="24" t="n">
        <v>3500</v>
      </c>
      <c r="H10" s="31" t="n">
        <v>3.2</v>
      </c>
      <c r="I10" s="20" t="n">
        <f aca="false">G10*H10</f>
        <v>11200</v>
      </c>
      <c r="J10" s="32" t="n">
        <v>0.3</v>
      </c>
      <c r="K10" s="20" t="n">
        <f aca="false">G10*J10</f>
        <v>1050</v>
      </c>
      <c r="L10" s="33" t="n">
        <v>0.0009</v>
      </c>
      <c r="M10" s="34" t="n">
        <f aca="false">G10*L10</f>
        <v>3.15</v>
      </c>
      <c r="N10" s="20" t="n">
        <f aca="false">IF($K$25=0,0,K10/$K$25*Параметры!$B$6)</f>
        <v>485.561607234611</v>
      </c>
      <c r="O10" s="20" t="n">
        <f aca="false">I10*Параметры!$B$10</f>
        <v>33.6</v>
      </c>
      <c r="P10" s="20" t="n">
        <f aca="false">I10+N10*Параметры!$B$9+O10</f>
        <v>11622.0492857877</v>
      </c>
      <c r="Q10" s="20" t="n">
        <f aca="false">P10*E10</f>
        <v>1162.20492857877</v>
      </c>
      <c r="R10" s="20" t="n">
        <f aca="false">P10*Параметры!$B$11</f>
        <v>46.4881971431508</v>
      </c>
      <c r="S10" s="20" t="n">
        <f aca="false">(P10+Q10)*Параметры!$B$12</f>
        <v>1534.11050572398</v>
      </c>
      <c r="T10" s="20" t="n">
        <f aca="false">IF($I$25=0,0,I10/$I$25*(Параметры!$B$14+Параметры!$B$15+Параметры!$B$18))+I10*(Параметры!$B$16+Параметры!$B$17)</f>
        <v>563.49368393916</v>
      </c>
      <c r="U10" s="20" t="n">
        <f aca="false">(I10+N10+O10+Q10+R10+S10*Параметры!$B$13+T10)*Параметры!$B$19</f>
        <v>450.76376767859</v>
      </c>
      <c r="V10" s="20" t="n">
        <f aca="false">I10+N10+O10+Q10+R10+S10*Параметры!$B$13+T10+U10</f>
        <v>15476.2226902983</v>
      </c>
      <c r="W10" s="35" t="n">
        <f aca="false">IF(G10=0,0,V10/G10)</f>
        <v>4.42177791151379</v>
      </c>
      <c r="X10" s="36" t="n">
        <f aca="false">W10*Параметры!$B$5</f>
        <v>386.905567257456</v>
      </c>
      <c r="Y10" s="36" t="n">
        <f aca="false">X10*(1+Параметры!$B$20)</f>
        <v>522.322515797566</v>
      </c>
      <c r="Z10" s="37" t="n">
        <f aca="false">IF(H10=0,0,W10/H10)</f>
        <v>1.38180559734806</v>
      </c>
    </row>
    <row r="11" customFormat="false" ht="15" hidden="false" customHeight="false" outlineLevel="0" collapsed="false">
      <c r="A11" s="3" t="n">
        <v>7</v>
      </c>
      <c r="B11" s="3" t="s">
        <v>33</v>
      </c>
      <c r="C11" s="3" t="s">
        <v>112</v>
      </c>
      <c r="D11" s="3" t="s">
        <v>113</v>
      </c>
      <c r="E11" s="30" t="n">
        <v>0.12</v>
      </c>
      <c r="F11" s="3" t="s">
        <v>109</v>
      </c>
      <c r="G11" s="24" t="n">
        <v>3500</v>
      </c>
      <c r="H11" s="31" t="n">
        <v>3.8</v>
      </c>
      <c r="I11" s="20" t="n">
        <f aca="false">G11*H11</f>
        <v>13300</v>
      </c>
      <c r="J11" s="32" t="n">
        <v>0.55</v>
      </c>
      <c r="K11" s="20" t="n">
        <f aca="false">G11*J11</f>
        <v>1925</v>
      </c>
      <c r="L11" s="33" t="n">
        <v>0.0012</v>
      </c>
      <c r="M11" s="34" t="n">
        <f aca="false">G11*L11</f>
        <v>4.2</v>
      </c>
      <c r="N11" s="20" t="n">
        <f aca="false">IF($K$25=0,0,K11/$K$25*Параметры!$B$6)</f>
        <v>890.19627993012</v>
      </c>
      <c r="O11" s="20" t="n">
        <f aca="false">I11*Параметры!$B$10</f>
        <v>39.9</v>
      </c>
      <c r="P11" s="20" t="n">
        <f aca="false">I11+N11*Параметры!$B$9+O11</f>
        <v>14052.0570239441</v>
      </c>
      <c r="Q11" s="20" t="n">
        <f aca="false">P11*E11</f>
        <v>1686.24684287329</v>
      </c>
      <c r="R11" s="20" t="n">
        <f aca="false">P11*Параметры!$B$11</f>
        <v>56.2082280957764</v>
      </c>
      <c r="S11" s="20" t="n">
        <f aca="false">(P11+Q11)*Параметры!$B$12</f>
        <v>1888.59646401809</v>
      </c>
      <c r="T11" s="20" t="n">
        <f aca="false">IF($I$25=0,0,I11/$I$25*(Параметры!$B$14+Параметры!$B$15+Параметры!$B$18))+I11*(Параметры!$B$16+Параметры!$B$17)</f>
        <v>669.148749677752</v>
      </c>
      <c r="U11" s="20" t="n">
        <f aca="false">(I11+N11+O11+Q11+R11+S11*Параметры!$B$13+T11)*Параметры!$B$19</f>
        <v>555.908896937851</v>
      </c>
      <c r="V11" s="20" t="n">
        <f aca="false">I11+N11+O11+Q11+R11+S11*Параметры!$B$13+T11+U11</f>
        <v>19086.2054615329</v>
      </c>
      <c r="W11" s="35" t="n">
        <f aca="false">IF(G11=0,0,V11/G11)</f>
        <v>5.45320156043797</v>
      </c>
      <c r="X11" s="36" t="n">
        <f aca="false">W11*Параметры!$B$5</f>
        <v>477.155136538322</v>
      </c>
      <c r="Y11" s="36" t="n">
        <f aca="false">X11*(1+Параметры!$B$20)</f>
        <v>644.159434326735</v>
      </c>
      <c r="Z11" s="37" t="n">
        <f aca="false">IF(H11=0,0,W11/H11)</f>
        <v>1.43505304222052</v>
      </c>
    </row>
    <row r="12" customFormat="false" ht="15" hidden="false" customHeight="false" outlineLevel="0" collapsed="false">
      <c r="A12" s="3" t="n">
        <v>8</v>
      </c>
      <c r="B12" s="3" t="s">
        <v>33</v>
      </c>
      <c r="C12" s="3" t="s">
        <v>114</v>
      </c>
      <c r="D12" s="3" t="s">
        <v>115</v>
      </c>
      <c r="E12" s="30" t="n">
        <v>0.12</v>
      </c>
      <c r="F12" s="3" t="s">
        <v>109</v>
      </c>
      <c r="G12" s="24" t="n">
        <v>2200</v>
      </c>
      <c r="H12" s="31" t="n">
        <v>2.4</v>
      </c>
      <c r="I12" s="20" t="n">
        <f aca="false">G12*H12</f>
        <v>5280</v>
      </c>
      <c r="J12" s="32" t="n">
        <v>0.35</v>
      </c>
      <c r="K12" s="20" t="n">
        <f aca="false">G12*J12</f>
        <v>770</v>
      </c>
      <c r="L12" s="33" t="n">
        <v>0.001</v>
      </c>
      <c r="M12" s="34" t="n">
        <f aca="false">G12*L12</f>
        <v>2.2</v>
      </c>
      <c r="N12" s="20" t="n">
        <f aca="false">IF($K$25=0,0,K12/$K$25*Параметры!$B$6)</f>
        <v>356.078511972048</v>
      </c>
      <c r="O12" s="20" t="n">
        <f aca="false">I12*Параметры!$B$10</f>
        <v>15.84</v>
      </c>
      <c r="P12" s="20" t="n">
        <f aca="false">I12+N12*Параметры!$B$9+O12</f>
        <v>5580.70280957764</v>
      </c>
      <c r="Q12" s="20" t="n">
        <f aca="false">P12*E12</f>
        <v>669.684337149317</v>
      </c>
      <c r="R12" s="20" t="n">
        <f aca="false">P12*Параметры!$B$11</f>
        <v>22.3228112383106</v>
      </c>
      <c r="S12" s="20" t="n">
        <f aca="false">(P12+Q12)*Параметры!$B$12</f>
        <v>750.046457607235</v>
      </c>
      <c r="T12" s="20" t="n">
        <f aca="false">IF($I$25=0,0,I12/$I$25*(Параметры!$B$14+Параметры!$B$15+Параметры!$B$18))+I12*(Параметры!$B$16+Параметры!$B$17)</f>
        <v>265.647022428461</v>
      </c>
      <c r="U12" s="20" t="n">
        <f aca="false">(I12+N12+O12+Q12+R12+S12*Параметры!$B$13+T12)*Параметры!$B$19</f>
        <v>220.788574211861</v>
      </c>
      <c r="V12" s="20" t="n">
        <f aca="false">I12+N12+O12+Q12+R12+S12*Параметры!$B$13+T12+U12</f>
        <v>7580.40771460723</v>
      </c>
      <c r="W12" s="35" t="n">
        <f aca="false">IF(G12=0,0,V12/G12)</f>
        <v>3.44563987027601</v>
      </c>
      <c r="X12" s="36" t="n">
        <f aca="false">W12*Параметры!$B$5</f>
        <v>301.493488649151</v>
      </c>
      <c r="Y12" s="36" t="n">
        <f aca="false">X12*(1+Параметры!$B$20)</f>
        <v>407.016209676354</v>
      </c>
      <c r="Z12" s="37" t="n">
        <f aca="false">IF(H12=0,0,W12/H12)</f>
        <v>1.43568327928167</v>
      </c>
    </row>
    <row r="13" customFormat="false" ht="15" hidden="false" customHeight="false" outlineLevel="0" collapsed="false">
      <c r="A13" s="3" t="n">
        <v>9</v>
      </c>
      <c r="B13" s="3" t="s">
        <v>33</v>
      </c>
      <c r="C13" s="3" t="s">
        <v>116</v>
      </c>
      <c r="D13" s="3" t="s">
        <v>113</v>
      </c>
      <c r="E13" s="30" t="n">
        <v>0.12</v>
      </c>
      <c r="F13" s="3" t="s">
        <v>105</v>
      </c>
      <c r="G13" s="24" t="n">
        <v>400</v>
      </c>
      <c r="H13" s="31" t="n">
        <v>9</v>
      </c>
      <c r="I13" s="20" t="n">
        <f aca="false">G13*H13</f>
        <v>3600</v>
      </c>
      <c r="J13" s="32" t="n">
        <v>1.4</v>
      </c>
      <c r="K13" s="20" t="n">
        <f aca="false">G13*J13</f>
        <v>560</v>
      </c>
      <c r="L13" s="33" t="n">
        <v>0.0035</v>
      </c>
      <c r="M13" s="34" t="n">
        <f aca="false">G13*L13</f>
        <v>1.4</v>
      </c>
      <c r="N13" s="20" t="n">
        <f aca="false">IF($K$25=0,0,K13/$K$25*Параметры!$B$6)</f>
        <v>258.966190525126</v>
      </c>
      <c r="O13" s="20" t="n">
        <f aca="false">I13*Параметры!$B$10</f>
        <v>10.8</v>
      </c>
      <c r="P13" s="20" t="n">
        <f aca="false">I13+N13*Параметры!$B$9+O13</f>
        <v>3817.9729524201</v>
      </c>
      <c r="Q13" s="20" t="n">
        <f aca="false">P13*E13</f>
        <v>458.156754290412</v>
      </c>
      <c r="R13" s="20" t="n">
        <f aca="false">P13*Параметры!$B$11</f>
        <v>15.2718918096804</v>
      </c>
      <c r="S13" s="20" t="n">
        <f aca="false">(P13+Q13)*Параметры!$B$12</f>
        <v>513.135564805261</v>
      </c>
      <c r="T13" s="20" t="n">
        <f aca="false">IF($I$25=0,0,I13/$I$25*(Параметры!$B$14+Параметры!$B$15+Параметры!$B$18))+I13*(Параметры!$B$16+Параметры!$B$17)</f>
        <v>181.122969837587</v>
      </c>
      <c r="U13" s="20" t="n">
        <f aca="false">(I13+N13+O13+Q13+R13+S13*Параметры!$B$13+T13)*Параметры!$B$19</f>
        <v>151.123601138042</v>
      </c>
      <c r="V13" s="20" t="n">
        <f aca="false">I13+N13+O13+Q13+R13+S13*Параметры!$B$13+T13+U13</f>
        <v>5188.57697240611</v>
      </c>
      <c r="W13" s="35" t="n">
        <f aca="false">IF(G13=0,0,V13/G13)</f>
        <v>12.9714424310153</v>
      </c>
      <c r="X13" s="36" t="n">
        <f aca="false">W13*Параметры!$B$5</f>
        <v>1135.00121271384</v>
      </c>
      <c r="Y13" s="36" t="n">
        <f aca="false">X13*(1+Параметры!$B$20)</f>
        <v>1532.25163716368</v>
      </c>
      <c r="Z13" s="37" t="n">
        <f aca="false">IF(H13=0,0,W13/H13)</f>
        <v>1.44127138122392</v>
      </c>
    </row>
    <row r="14" customFormat="false" ht="15" hidden="false" customHeight="false" outlineLevel="0" collapsed="false">
      <c r="A14" s="3" t="n">
        <v>10</v>
      </c>
      <c r="B14" s="3" t="s">
        <v>34</v>
      </c>
      <c r="C14" s="3" t="s">
        <v>117</v>
      </c>
      <c r="D14" s="3" t="s">
        <v>118</v>
      </c>
      <c r="E14" s="30" t="n">
        <v>0.15</v>
      </c>
      <c r="F14" s="3" t="s">
        <v>109</v>
      </c>
      <c r="G14" s="24" t="n">
        <v>4400</v>
      </c>
      <c r="H14" s="31" t="n">
        <v>2.6</v>
      </c>
      <c r="I14" s="20" t="n">
        <f aca="false">G14*H14</f>
        <v>11440</v>
      </c>
      <c r="J14" s="32" t="n">
        <v>0.2</v>
      </c>
      <c r="K14" s="20" t="n">
        <f aca="false">G14*J14</f>
        <v>880</v>
      </c>
      <c r="L14" s="33" t="n">
        <v>0.0005</v>
      </c>
      <c r="M14" s="34" t="n">
        <f aca="false">G14*L14</f>
        <v>2.2</v>
      </c>
      <c r="N14" s="20" t="n">
        <f aca="false">IF($K$25=0,0,K14/$K$25*Параметры!$B$6)</f>
        <v>406.946870825198</v>
      </c>
      <c r="O14" s="20" t="n">
        <f aca="false">I14*Параметры!$B$10</f>
        <v>34.32</v>
      </c>
      <c r="P14" s="20" t="n">
        <f aca="false">I14+N14*Параметры!$B$9+O14</f>
        <v>11799.8774966602</v>
      </c>
      <c r="Q14" s="20" t="n">
        <f aca="false">P14*E14</f>
        <v>1769.98162449902</v>
      </c>
      <c r="R14" s="20" t="n">
        <f aca="false">P14*Параметры!$B$11</f>
        <v>47.1995099866406</v>
      </c>
      <c r="S14" s="20" t="n">
        <f aca="false">(P14+Q14)*Параметры!$B$12</f>
        <v>1628.3830945391</v>
      </c>
      <c r="T14" s="20" t="n">
        <f aca="false">IF($I$25=0,0,I14/$I$25*(Параметры!$B$14+Параметры!$B$15+Параметры!$B$18))+I14*(Параметры!$B$16+Параметры!$B$17)</f>
        <v>575.568548594999</v>
      </c>
      <c r="U14" s="20" t="n">
        <f aca="false">(I14+N14+O14+Q14+R14+S14*Параметры!$B$13+T14)*Параметры!$B$19</f>
        <v>477.071989453349</v>
      </c>
      <c r="V14" s="20" t="n">
        <f aca="false">I14+N14+O14+Q14+R14+S14*Параметры!$B$13+T14+U14</f>
        <v>16379.4716378983</v>
      </c>
      <c r="W14" s="35" t="n">
        <f aca="false">IF(G14=0,0,V14/G14)</f>
        <v>3.72260719043143</v>
      </c>
      <c r="X14" s="36" t="n">
        <f aca="false">W14*Параметры!$B$5</f>
        <v>325.72812916275</v>
      </c>
      <c r="Y14" s="36" t="n">
        <f aca="false">X14*(1+Параметры!$B$20)</f>
        <v>439.732974369713</v>
      </c>
      <c r="Z14" s="37" t="n">
        <f aca="false">IF(H14=0,0,W14/H14)</f>
        <v>1.43177199631978</v>
      </c>
    </row>
    <row r="15" customFormat="false" ht="15" hidden="false" customHeight="false" outlineLevel="0" collapsed="false">
      <c r="A15" s="3" t="n">
        <v>11</v>
      </c>
      <c r="B15" s="3" t="s">
        <v>34</v>
      </c>
      <c r="C15" s="3" t="s">
        <v>119</v>
      </c>
      <c r="D15" s="3" t="s">
        <v>118</v>
      </c>
      <c r="E15" s="30" t="n">
        <v>0.15</v>
      </c>
      <c r="F15" s="3" t="s">
        <v>109</v>
      </c>
      <c r="G15" s="24" t="n">
        <v>1800</v>
      </c>
      <c r="H15" s="31" t="n">
        <v>3</v>
      </c>
      <c r="I15" s="20" t="n">
        <f aca="false">G15*H15</f>
        <v>5400</v>
      </c>
      <c r="J15" s="32" t="n">
        <v>0.22</v>
      </c>
      <c r="K15" s="20" t="n">
        <f aca="false">G15*J15</f>
        <v>396</v>
      </c>
      <c r="L15" s="33" t="n">
        <v>0.0005</v>
      </c>
      <c r="M15" s="34" t="n">
        <f aca="false">G15*L15</f>
        <v>0.9</v>
      </c>
      <c r="N15" s="20" t="n">
        <f aca="false">IF($K$25=0,0,K15/$K$25*Параметры!$B$6)</f>
        <v>183.126091871339</v>
      </c>
      <c r="O15" s="20" t="n">
        <f aca="false">I15*Параметры!$B$10</f>
        <v>16.2</v>
      </c>
      <c r="P15" s="20" t="n">
        <f aca="false">I15+N15*Параметры!$B$9+O15</f>
        <v>5562.70087349707</v>
      </c>
      <c r="Q15" s="20" t="n">
        <f aca="false">P15*E15</f>
        <v>834.405131024561</v>
      </c>
      <c r="R15" s="20" t="n">
        <f aca="false">P15*Параметры!$B$11</f>
        <v>22.2508034939883</v>
      </c>
      <c r="S15" s="20" t="n">
        <f aca="false">(P15+Q15)*Параметры!$B$12</f>
        <v>767.652720542596</v>
      </c>
      <c r="T15" s="20" t="n">
        <f aca="false">IF($I$25=0,0,I15/$I$25*(Параметры!$B$14+Параметры!$B$15+Параметры!$B$18))+I15*(Параметры!$B$16+Параметры!$B$17)</f>
        <v>271.684454756381</v>
      </c>
      <c r="U15" s="20" t="n">
        <f aca="false">(I15+N15+O15+Q15+R15+S15*Параметры!$B$13+T15)*Параметры!$B$19</f>
        <v>224.859576050666</v>
      </c>
      <c r="V15" s="20" t="n">
        <f aca="false">I15+N15+O15+Q15+R15+S15*Параметры!$B$13+T15+U15</f>
        <v>7720.17877773953</v>
      </c>
      <c r="W15" s="35" t="n">
        <f aca="false">IF(G15=0,0,V15/G15)</f>
        <v>4.28898820985529</v>
      </c>
      <c r="X15" s="36" t="n">
        <f aca="false">W15*Параметры!$B$5</f>
        <v>375.286468362338</v>
      </c>
      <c r="Y15" s="36" t="n">
        <f aca="false">X15*(1+Параметры!$B$20)</f>
        <v>506.636732289157</v>
      </c>
      <c r="Z15" s="37" t="n">
        <f aca="false">IF(H15=0,0,W15/H15)</f>
        <v>1.42966273661843</v>
      </c>
    </row>
    <row r="16" customFormat="false" ht="15" hidden="false" customHeight="false" outlineLevel="0" collapsed="false">
      <c r="A16" s="3" t="n">
        <v>12</v>
      </c>
      <c r="B16" s="3" t="s">
        <v>35</v>
      </c>
      <c r="C16" s="3" t="s">
        <v>120</v>
      </c>
      <c r="D16" s="3" t="s">
        <v>104</v>
      </c>
      <c r="E16" s="30" t="n">
        <v>0.1</v>
      </c>
      <c r="F16" s="3" t="s">
        <v>105</v>
      </c>
      <c r="G16" s="24" t="n">
        <v>2600</v>
      </c>
      <c r="H16" s="31" t="n">
        <v>1.4</v>
      </c>
      <c r="I16" s="20" t="n">
        <f aca="false">G16*H16</f>
        <v>3640</v>
      </c>
      <c r="J16" s="32" t="n">
        <v>0.15</v>
      </c>
      <c r="K16" s="20" t="n">
        <f aca="false">G16*J16</f>
        <v>390</v>
      </c>
      <c r="L16" s="33" t="n">
        <v>0.0005</v>
      </c>
      <c r="M16" s="34" t="n">
        <f aca="false">G16*L16</f>
        <v>1.3</v>
      </c>
      <c r="N16" s="20" t="n">
        <f aca="false">IF($K$25=0,0,K16/$K$25*Параметры!$B$6)</f>
        <v>180.351454115713</v>
      </c>
      <c r="O16" s="20" t="n">
        <f aca="false">I16*Параметры!$B$10</f>
        <v>10.92</v>
      </c>
      <c r="P16" s="20" t="n">
        <f aca="false">I16+N16*Параметры!$B$9+O16</f>
        <v>3795.20116329257</v>
      </c>
      <c r="Q16" s="20" t="n">
        <f aca="false">P16*E16</f>
        <v>379.520116329257</v>
      </c>
      <c r="R16" s="20" t="n">
        <f aca="false">P16*Параметры!$B$11</f>
        <v>15.1808046531703</v>
      </c>
      <c r="S16" s="20" t="n">
        <f aca="false">(P16+Q16)*Параметры!$B$12</f>
        <v>500.966553554619</v>
      </c>
      <c r="T16" s="20" t="n">
        <f aca="false">IF($I$25=0,0,I16/$I$25*(Параметры!$B$14+Параметры!$B$15+Параметры!$B$18))+I16*(Параметры!$B$16+Параметры!$B$17)</f>
        <v>183.135447280227</v>
      </c>
      <c r="U16" s="20" t="n">
        <f aca="false">(I16+N16+O16+Q16+R16+S16*Параметры!$B$13+T16)*Параметры!$B$19</f>
        <v>147.30223127799</v>
      </c>
      <c r="V16" s="20" t="n">
        <f aca="false">I16+N16+O16+Q16+R16+S16*Параметры!$B$13+T16+U16</f>
        <v>5057.37660721098</v>
      </c>
      <c r="W16" s="35" t="n">
        <f aca="false">IF(G16=0,0,V16/G16)</f>
        <v>1.9451448489273</v>
      </c>
      <c r="X16" s="36" t="n">
        <f aca="false">W16*Параметры!$B$5</f>
        <v>170.200174281139</v>
      </c>
      <c r="Y16" s="36" t="n">
        <f aca="false">X16*(1+Параметры!$B$20)</f>
        <v>229.770235279537</v>
      </c>
      <c r="Z16" s="37" t="n">
        <f aca="false">IF(H16=0,0,W16/H16)</f>
        <v>1.38938917780521</v>
      </c>
    </row>
    <row r="17" customFormat="false" ht="15" hidden="false" customHeight="false" outlineLevel="0" collapsed="false">
      <c r="A17" s="3" t="n">
        <v>13</v>
      </c>
      <c r="B17" s="3" t="s">
        <v>36</v>
      </c>
      <c r="C17" s="3" t="s">
        <v>121</v>
      </c>
      <c r="D17" s="3" t="s">
        <v>122</v>
      </c>
      <c r="E17" s="30" t="n">
        <v>0</v>
      </c>
      <c r="F17" s="3" t="s">
        <v>105</v>
      </c>
      <c r="G17" s="24" t="n">
        <v>6600</v>
      </c>
      <c r="H17" s="31" t="n">
        <v>1.2</v>
      </c>
      <c r="I17" s="20" t="n">
        <f aca="false">G17*H17</f>
        <v>7920</v>
      </c>
      <c r="J17" s="32" t="n">
        <v>0.35</v>
      </c>
      <c r="K17" s="20" t="n">
        <f aca="false">G17*J17</f>
        <v>2310</v>
      </c>
      <c r="L17" s="33" t="n">
        <v>0.0006</v>
      </c>
      <c r="M17" s="34" t="n">
        <f aca="false">G17*L17</f>
        <v>3.96</v>
      </c>
      <c r="N17" s="20" t="n">
        <f aca="false">IF($K$25=0,0,K17/$K$25*Параметры!$B$6)</f>
        <v>1068.23553591614</v>
      </c>
      <c r="O17" s="20" t="n">
        <f aca="false">I17*Параметры!$B$10</f>
        <v>23.76</v>
      </c>
      <c r="P17" s="20" t="n">
        <f aca="false">I17+N17*Параметры!$B$9+O17</f>
        <v>8798.34842873292</v>
      </c>
      <c r="Q17" s="20" t="n">
        <f aca="false">P17*E17</f>
        <v>0</v>
      </c>
      <c r="R17" s="20" t="n">
        <f aca="false">P17*Параметры!$B$11</f>
        <v>35.1933937149317</v>
      </c>
      <c r="S17" s="20" t="n">
        <f aca="false">(P17+Q17)*Параметры!$B$12</f>
        <v>1055.80181144795</v>
      </c>
      <c r="T17" s="20" t="n">
        <f aca="false">IF($I$25=0,0,I17/$I$25*(Параметры!$B$14+Параметры!$B$15+Параметры!$B$18))+I17*(Параметры!$B$16+Параметры!$B$17)</f>
        <v>398.470533642691</v>
      </c>
      <c r="U17" s="20" t="n">
        <f aca="false">(I17+N17+O17+Q17+R17+S17*Параметры!$B$13+T17)*Параметры!$B$19</f>
        <v>315.043838241652</v>
      </c>
      <c r="V17" s="20" t="n">
        <f aca="false">I17+N17+O17+Q17+R17+S17*Параметры!$B$13+T17+U17</f>
        <v>10816.5051129634</v>
      </c>
      <c r="W17" s="35" t="n">
        <f aca="false">IF(G17=0,0,V17/G17)</f>
        <v>1.63886441105506</v>
      </c>
      <c r="X17" s="36" t="n">
        <f aca="false">W17*Параметры!$B$5</f>
        <v>143.400635967317</v>
      </c>
      <c r="Y17" s="36" t="n">
        <f aca="false">X17*(1+Параметры!$B$20)</f>
        <v>193.590858555879</v>
      </c>
      <c r="Z17" s="37" t="n">
        <f aca="false">IF(H17=0,0,W17/H17)</f>
        <v>1.36572034254588</v>
      </c>
    </row>
    <row r="18" customFormat="false" ht="15" hidden="false" customHeight="false" outlineLevel="0" collapsed="false">
      <c r="A18" s="3" t="n">
        <v>14</v>
      </c>
      <c r="B18" s="3" t="s">
        <v>36</v>
      </c>
      <c r="C18" s="3" t="s">
        <v>123</v>
      </c>
      <c r="D18" s="3" t="s">
        <v>122</v>
      </c>
      <c r="E18" s="30" t="n">
        <v>0</v>
      </c>
      <c r="F18" s="3" t="s">
        <v>105</v>
      </c>
      <c r="G18" s="24" t="n">
        <v>3500</v>
      </c>
      <c r="H18" s="31" t="n">
        <v>2.2</v>
      </c>
      <c r="I18" s="20" t="n">
        <f aca="false">G18*H18</f>
        <v>7700</v>
      </c>
      <c r="J18" s="32" t="n">
        <v>0.5</v>
      </c>
      <c r="K18" s="20" t="n">
        <f aca="false">G18*J18</f>
        <v>1750</v>
      </c>
      <c r="L18" s="33" t="n">
        <v>0.0008</v>
      </c>
      <c r="M18" s="34" t="n">
        <f aca="false">G18*L18</f>
        <v>2.8</v>
      </c>
      <c r="N18" s="20" t="n">
        <f aca="false">IF($K$25=0,0,K18/$K$25*Параметры!$B$6)</f>
        <v>809.269345391018</v>
      </c>
      <c r="O18" s="20" t="n">
        <f aca="false">I18*Параметры!$B$10</f>
        <v>23.1</v>
      </c>
      <c r="P18" s="20" t="n">
        <f aca="false">I18+N18*Параметры!$B$9+O18</f>
        <v>8370.51547631282</v>
      </c>
      <c r="Q18" s="20" t="n">
        <f aca="false">P18*E18</f>
        <v>0</v>
      </c>
      <c r="R18" s="20" t="n">
        <f aca="false">P18*Параметры!$B$11</f>
        <v>33.4820619052513</v>
      </c>
      <c r="S18" s="20" t="n">
        <f aca="false">(P18+Q18)*Параметры!$B$12</f>
        <v>1004.46185715754</v>
      </c>
      <c r="T18" s="20" t="n">
        <f aca="false">IF($I$25=0,0,I18/$I$25*(Параметры!$B$14+Параметры!$B$15+Параметры!$B$18))+I18*(Параметры!$B$16+Параметры!$B$17)</f>
        <v>387.401907708172</v>
      </c>
      <c r="U18" s="20" t="n">
        <f aca="false">(I18+N18+O18+Q18+R18+S18*Параметры!$B$13+T18)*Параметры!$B$19</f>
        <v>298.731455164859</v>
      </c>
      <c r="V18" s="20" t="n">
        <f aca="false">I18+N18+O18+Q18+R18+S18*Параметры!$B$13+T18+U18</f>
        <v>10256.4466273268</v>
      </c>
      <c r="W18" s="35" t="n">
        <f aca="false">IF(G18=0,0,V18/G18)</f>
        <v>2.93041332209338</v>
      </c>
      <c r="X18" s="36" t="n">
        <f aca="false">W18*Параметры!$B$5</f>
        <v>256.411165683171</v>
      </c>
      <c r="Y18" s="36" t="n">
        <f aca="false">X18*(1+Параметры!$B$20)</f>
        <v>346.155073672281</v>
      </c>
      <c r="Z18" s="37" t="n">
        <f aca="false">IF(H18=0,0,W18/H18)</f>
        <v>1.33200605549699</v>
      </c>
    </row>
    <row r="19" customFormat="false" ht="15" hidden="false" customHeight="false" outlineLevel="0" collapsed="false">
      <c r="A19" s="3" t="n">
        <v>15</v>
      </c>
      <c r="B19" s="3" t="s">
        <v>36</v>
      </c>
      <c r="C19" s="3" t="s">
        <v>124</v>
      </c>
      <c r="D19" s="3" t="s">
        <v>122</v>
      </c>
      <c r="E19" s="30" t="n">
        <v>0</v>
      </c>
      <c r="F19" s="3" t="s">
        <v>109</v>
      </c>
      <c r="G19" s="24" t="n">
        <v>1300</v>
      </c>
      <c r="H19" s="31" t="n">
        <v>4.5</v>
      </c>
      <c r="I19" s="20" t="n">
        <f aca="false">G19*H19</f>
        <v>5850</v>
      </c>
      <c r="J19" s="32" t="n">
        <v>0.45</v>
      </c>
      <c r="K19" s="20" t="n">
        <f aca="false">G19*J19</f>
        <v>585</v>
      </c>
      <c r="L19" s="33" t="n">
        <v>0.001</v>
      </c>
      <c r="M19" s="34" t="n">
        <f aca="false">G19*L19</f>
        <v>1.3</v>
      </c>
      <c r="N19" s="20" t="n">
        <f aca="false">IF($K$25=0,0,K19/$K$25*Параметры!$B$6)</f>
        <v>270.527181173569</v>
      </c>
      <c r="O19" s="20" t="n">
        <f aca="false">I19*Параметры!$B$10</f>
        <v>17.55</v>
      </c>
      <c r="P19" s="20" t="n">
        <f aca="false">I19+N19*Параметры!$B$9+O19</f>
        <v>6083.97174493886</v>
      </c>
      <c r="Q19" s="20" t="n">
        <f aca="false">P19*E19</f>
        <v>0</v>
      </c>
      <c r="R19" s="20" t="n">
        <f aca="false">P19*Параметры!$B$11</f>
        <v>24.3358869797554</v>
      </c>
      <c r="S19" s="20" t="n">
        <f aca="false">(P19+Q19)*Параметры!$B$12</f>
        <v>730.076609392663</v>
      </c>
      <c r="T19" s="20" t="n">
        <f aca="false">IF($I$25=0,0,I19/$I$25*(Параметры!$B$14+Параметры!$B$15+Параметры!$B$18))+I19*(Параметры!$B$16+Параметры!$B$17)</f>
        <v>294.324825986079</v>
      </c>
      <c r="U19" s="20" t="n">
        <f aca="false">(I19+N19+O19+Q19+R19+S19*Параметры!$B$13+T19)*Параметры!$B$19</f>
        <v>215.604435105962</v>
      </c>
      <c r="V19" s="20" t="n">
        <f aca="false">I19+N19+O19+Q19+R19+S19*Параметры!$B$13+T19+U19</f>
        <v>7402.41893863803</v>
      </c>
      <c r="W19" s="35" t="n">
        <f aca="false">IF(G19=0,0,V19/G19)</f>
        <v>5.69416841433695</v>
      </c>
      <c r="X19" s="36" t="n">
        <f aca="false">W19*Параметры!$B$5</f>
        <v>498.239736254483</v>
      </c>
      <c r="Y19" s="36" t="n">
        <f aca="false">X19*(1+Параметры!$B$20)</f>
        <v>672.623643943552</v>
      </c>
      <c r="Z19" s="37" t="n">
        <f aca="false">IF(H19=0,0,W19/H19)</f>
        <v>1.26537075874154</v>
      </c>
    </row>
    <row r="20" customFormat="false" ht="15" hidden="false" customHeight="false" outlineLevel="0" collapsed="false">
      <c r="A20" s="3" t="n">
        <v>16</v>
      </c>
      <c r="B20" s="3" t="s">
        <v>37</v>
      </c>
      <c r="C20" s="3" t="s">
        <v>125</v>
      </c>
      <c r="D20" s="3" t="s">
        <v>104</v>
      </c>
      <c r="E20" s="30" t="n">
        <v>0.1</v>
      </c>
      <c r="F20" s="3" t="s">
        <v>109</v>
      </c>
      <c r="G20" s="24" t="n">
        <v>3500</v>
      </c>
      <c r="H20" s="31" t="n">
        <v>0.45</v>
      </c>
      <c r="I20" s="20" t="n">
        <f aca="false">G20*H20</f>
        <v>1575</v>
      </c>
      <c r="J20" s="32" t="n">
        <v>0.08</v>
      </c>
      <c r="K20" s="20" t="n">
        <f aca="false">G20*J20</f>
        <v>280</v>
      </c>
      <c r="L20" s="33" t="n">
        <v>0.0002</v>
      </c>
      <c r="M20" s="34" t="n">
        <f aca="false">G20*L20</f>
        <v>0.7</v>
      </c>
      <c r="N20" s="20" t="n">
        <f aca="false">IF($K$25=0,0,K20/$K$25*Параметры!$B$6)</f>
        <v>129.483095262563</v>
      </c>
      <c r="O20" s="20" t="n">
        <f aca="false">I20*Параметры!$B$10</f>
        <v>4.725</v>
      </c>
      <c r="P20" s="20" t="n">
        <f aca="false">I20+N20*Параметры!$B$9+O20</f>
        <v>1683.31147621005</v>
      </c>
      <c r="Q20" s="20" t="n">
        <f aca="false">P20*E20</f>
        <v>168.331147621005</v>
      </c>
      <c r="R20" s="20" t="n">
        <f aca="false">P20*Параметры!$B$11</f>
        <v>6.7332459048402</v>
      </c>
      <c r="S20" s="20" t="n">
        <f aca="false">(P20+Q20)*Параметры!$B$12</f>
        <v>222.197114859727</v>
      </c>
      <c r="T20" s="20" t="n">
        <f aca="false">IF($I$25=0,0,I20/$I$25*(Параметры!$B$14+Параметры!$B$15+Параметры!$B$18))+I20*(Параметры!$B$16+Параметры!$B$17)</f>
        <v>79.2412993039443</v>
      </c>
      <c r="U20" s="20" t="n">
        <f aca="false">(I20+N20+O20+Q20+R20+S20*Параметры!$B$13+T20)*Параметры!$B$19</f>
        <v>65.5713270885624</v>
      </c>
      <c r="V20" s="20" t="n">
        <f aca="false">I20+N20+O20+Q20+R20+S20*Параметры!$B$13+T20+U20</f>
        <v>2251.28223004064</v>
      </c>
      <c r="W20" s="35" t="n">
        <f aca="false">IF(G20=0,0,V20/G20)</f>
        <v>0.643223494297326</v>
      </c>
      <c r="X20" s="36" t="n">
        <f aca="false">W20*Параметры!$B$5</f>
        <v>56.282055751016</v>
      </c>
      <c r="Y20" s="36" t="n">
        <f aca="false">X20*(1+Параметры!$B$20)</f>
        <v>75.9807752638717</v>
      </c>
      <c r="Z20" s="37" t="n">
        <f aca="false">IF(H20=0,0,W20/H20)</f>
        <v>1.42938554288295</v>
      </c>
    </row>
    <row r="21" customFormat="false" ht="15" hidden="false" customHeight="false" outlineLevel="0" collapsed="false">
      <c r="A21" s="3" t="n">
        <v>17</v>
      </c>
      <c r="B21" s="3" t="s">
        <v>37</v>
      </c>
      <c r="C21" s="3" t="s">
        <v>126</v>
      </c>
      <c r="D21" s="3" t="s">
        <v>104</v>
      </c>
      <c r="E21" s="30" t="n">
        <v>0.1</v>
      </c>
      <c r="F21" s="3" t="s">
        <v>109</v>
      </c>
      <c r="G21" s="24" t="n">
        <v>1300</v>
      </c>
      <c r="H21" s="31" t="n">
        <v>0.9</v>
      </c>
      <c r="I21" s="20" t="n">
        <f aca="false">G21*H21</f>
        <v>1170</v>
      </c>
      <c r="J21" s="32" t="n">
        <v>0.12</v>
      </c>
      <c r="K21" s="20" t="n">
        <f aca="false">G21*J21</f>
        <v>156</v>
      </c>
      <c r="L21" s="33" t="n">
        <v>0.0003</v>
      </c>
      <c r="M21" s="34" t="n">
        <f aca="false">G21*L21</f>
        <v>0.39</v>
      </c>
      <c r="N21" s="20" t="n">
        <f aca="false">IF($K$25=0,0,K21/$K$25*Параметры!$B$6)</f>
        <v>72.1405816462851</v>
      </c>
      <c r="O21" s="20" t="n">
        <f aca="false">I21*Параметры!$B$10</f>
        <v>3.51</v>
      </c>
      <c r="P21" s="20" t="n">
        <f aca="false">I21+N21*Параметры!$B$9+O21</f>
        <v>1231.22246531703</v>
      </c>
      <c r="Q21" s="20" t="n">
        <f aca="false">P21*E21</f>
        <v>123.122246531703</v>
      </c>
      <c r="R21" s="20" t="n">
        <f aca="false">P21*Параметры!$B$11</f>
        <v>4.92488986126811</v>
      </c>
      <c r="S21" s="20" t="n">
        <f aca="false">(P21+Q21)*Параметры!$B$12</f>
        <v>162.521365421848</v>
      </c>
      <c r="T21" s="20" t="n">
        <f aca="false">IF($I$25=0,0,I21/$I$25*(Параметры!$B$14+Параметры!$B$15+Параметры!$B$18))+I21*(Параметры!$B$16+Параметры!$B$17)</f>
        <v>58.8649651972158</v>
      </c>
      <c r="U21" s="20" t="n">
        <f aca="false">(I21+N21+O21+Q21+R21+S21*Параметры!$B$13+T21)*Параметры!$B$19</f>
        <v>47.8525214597496</v>
      </c>
      <c r="V21" s="20" t="n">
        <f aca="false">I21+N21+O21+Q21+R21+S21*Параметры!$B$13+T21+U21</f>
        <v>1642.93657011807</v>
      </c>
      <c r="W21" s="35" t="n">
        <f aca="false">IF(G21=0,0,V21/G21)</f>
        <v>1.26379736162928</v>
      </c>
      <c r="X21" s="36" t="n">
        <f aca="false">W21*Параметры!$B$5</f>
        <v>110.582269142562</v>
      </c>
      <c r="Y21" s="36" t="n">
        <f aca="false">X21*(1+Параметры!$B$20)</f>
        <v>149.286063342459</v>
      </c>
      <c r="Z21" s="37" t="n">
        <f aca="false">IF(H21=0,0,W21/H21)</f>
        <v>1.4042192906992</v>
      </c>
    </row>
    <row r="22" customFormat="false" ht="15" hidden="false" customHeight="false" outlineLevel="0" collapsed="false">
      <c r="A22" s="3" t="n">
        <v>18</v>
      </c>
      <c r="B22" s="3" t="s">
        <v>38</v>
      </c>
      <c r="C22" s="3" t="s">
        <v>127</v>
      </c>
      <c r="D22" s="3" t="s">
        <v>104</v>
      </c>
      <c r="E22" s="30" t="n">
        <v>0.1</v>
      </c>
      <c r="F22" s="3" t="s">
        <v>109</v>
      </c>
      <c r="G22" s="24" t="n">
        <v>3500</v>
      </c>
      <c r="H22" s="31" t="n">
        <v>0.5</v>
      </c>
      <c r="I22" s="20" t="n">
        <f aca="false">G22*H22</f>
        <v>1750</v>
      </c>
      <c r="J22" s="32" t="n">
        <v>0.12</v>
      </c>
      <c r="K22" s="20" t="n">
        <f aca="false">G22*J22</f>
        <v>420</v>
      </c>
      <c r="L22" s="33" t="n">
        <v>0.0003</v>
      </c>
      <c r="M22" s="34" t="n">
        <f aca="false">G22*L22</f>
        <v>1.05</v>
      </c>
      <c r="N22" s="20" t="n">
        <f aca="false">IF($K$25=0,0,K22/$K$25*Параметры!$B$6)</f>
        <v>194.224642893844</v>
      </c>
      <c r="O22" s="20" t="n">
        <f aca="false">I22*Параметры!$B$10</f>
        <v>5.25</v>
      </c>
      <c r="P22" s="20" t="n">
        <f aca="false">I22+N22*Параметры!$B$9+O22</f>
        <v>1910.62971431508</v>
      </c>
      <c r="Q22" s="20" t="n">
        <f aca="false">P22*E22</f>
        <v>191.062971431508</v>
      </c>
      <c r="R22" s="20" t="n">
        <f aca="false">P22*Параметры!$B$11</f>
        <v>7.6425188572603</v>
      </c>
      <c r="S22" s="20" t="n">
        <f aca="false">(P22+Q22)*Параметры!$B$12</f>
        <v>252.20312228959</v>
      </c>
      <c r="T22" s="20" t="n">
        <f aca="false">IF($I$25=0,0,I22/$I$25*(Параметры!$B$14+Параметры!$B$15+Параметры!$B$18))+I22*(Параметры!$B$16+Параметры!$B$17)</f>
        <v>88.0458881154937</v>
      </c>
      <c r="U22" s="20" t="n">
        <f aca="false">(I22+N22+O22+Q22+R22+S22*Параметры!$B$13+T22)*Параметры!$B$19</f>
        <v>74.6528743076309</v>
      </c>
      <c r="V22" s="20" t="n">
        <f aca="false">I22+N22+O22+Q22+R22+S22*Параметры!$B$13+T22+U22</f>
        <v>2563.08201789533</v>
      </c>
      <c r="W22" s="35" t="n">
        <f aca="false">IF(G22=0,0,V22/G22)</f>
        <v>0.732309147970093</v>
      </c>
      <c r="X22" s="36" t="n">
        <f aca="false">W22*Параметры!$B$5</f>
        <v>64.0770504473832</v>
      </c>
      <c r="Y22" s="36" t="n">
        <f aca="false">X22*(1+Параметры!$B$20)</f>
        <v>86.5040181039673</v>
      </c>
      <c r="Z22" s="37" t="n">
        <f aca="false">IF(H22=0,0,W22/H22)</f>
        <v>1.46461829594019</v>
      </c>
    </row>
    <row r="23" customFormat="false" ht="15" hidden="false" customHeight="false" outlineLevel="0" collapsed="false">
      <c r="A23" s="3" t="n">
        <v>19</v>
      </c>
      <c r="B23" s="3" t="s">
        <v>38</v>
      </c>
      <c r="C23" s="3" t="s">
        <v>128</v>
      </c>
      <c r="D23" s="3" t="s">
        <v>129</v>
      </c>
      <c r="E23" s="30" t="n">
        <v>0.1</v>
      </c>
      <c r="F23" s="3" t="s">
        <v>109</v>
      </c>
      <c r="G23" s="24" t="n">
        <v>700</v>
      </c>
      <c r="H23" s="31" t="n">
        <v>7</v>
      </c>
      <c r="I23" s="20" t="n">
        <f aca="false">G23*H23</f>
        <v>4900</v>
      </c>
      <c r="J23" s="32" t="n">
        <v>1.6</v>
      </c>
      <c r="K23" s="20" t="n">
        <f aca="false">G23*J23</f>
        <v>1120</v>
      </c>
      <c r="L23" s="33" t="n">
        <v>0.004</v>
      </c>
      <c r="M23" s="34" t="n">
        <f aca="false">G23*L23</f>
        <v>2.8</v>
      </c>
      <c r="N23" s="20" t="n">
        <f aca="false">IF($K$25=0,0,K23/$K$25*Параметры!$B$6)</f>
        <v>517.932381050252</v>
      </c>
      <c r="O23" s="20" t="n">
        <f aca="false">I23*Параметры!$B$10</f>
        <v>14.7</v>
      </c>
      <c r="P23" s="20" t="n">
        <f aca="false">I23+N23*Параметры!$B$9+O23</f>
        <v>5329.0459048402</v>
      </c>
      <c r="Q23" s="20" t="n">
        <f aca="false">P23*E23</f>
        <v>532.90459048402</v>
      </c>
      <c r="R23" s="20" t="n">
        <f aca="false">P23*Параметры!$B$11</f>
        <v>21.3161836193608</v>
      </c>
      <c r="S23" s="20" t="n">
        <f aca="false">(P23+Q23)*Параметры!$B$12</f>
        <v>703.434059438907</v>
      </c>
      <c r="T23" s="20" t="n">
        <f aca="false">IF($I$25=0,0,I23/$I$25*(Параметры!$B$14+Параметры!$B$15+Параметры!$B$18))+I23*(Параметры!$B$16+Параметры!$B$17)</f>
        <v>246.528486723382</v>
      </c>
      <c r="U23" s="20" t="n">
        <f aca="false">(I23+N23+O23+Q23+R23+S23*Параметры!$B$13+T23)*Параметры!$B$19</f>
        <v>208.104471039478</v>
      </c>
      <c r="V23" s="20" t="n">
        <f aca="false">I23+N23+O23+Q23+R23+S23*Параметры!$B$13+T23+U23</f>
        <v>7144.9201723554</v>
      </c>
      <c r="W23" s="35" t="n">
        <f aca="false">IF(G23=0,0,V23/G23)</f>
        <v>10.2070288176506</v>
      </c>
      <c r="X23" s="36" t="n">
        <f aca="false">W23*Параметры!$B$5</f>
        <v>893.115021544425</v>
      </c>
      <c r="Y23" s="36" t="n">
        <f aca="false">X23*(1+Параметры!$B$20)</f>
        <v>1205.70527908497</v>
      </c>
      <c r="Z23" s="37" t="n">
        <f aca="false">IF(H23=0,0,W23/H23)</f>
        <v>1.45814697395008</v>
      </c>
    </row>
    <row r="24" customFormat="false" ht="15" hidden="false" customHeight="false" outlineLevel="0" collapsed="false">
      <c r="A24" s="3" t="n">
        <v>20</v>
      </c>
      <c r="B24" s="3" t="s">
        <v>38</v>
      </c>
      <c r="C24" s="3" t="s">
        <v>130</v>
      </c>
      <c r="D24" s="3" t="s">
        <v>104</v>
      </c>
      <c r="E24" s="30" t="n">
        <v>0.1</v>
      </c>
      <c r="F24" s="3" t="s">
        <v>109</v>
      </c>
      <c r="G24" s="24" t="n">
        <v>900</v>
      </c>
      <c r="H24" s="31" t="n">
        <v>2.5</v>
      </c>
      <c r="I24" s="20" t="n">
        <f aca="false">G24*H24</f>
        <v>2250</v>
      </c>
      <c r="J24" s="32" t="n">
        <v>0.4</v>
      </c>
      <c r="K24" s="20" t="n">
        <f aca="false">G24*J24</f>
        <v>360</v>
      </c>
      <c r="L24" s="33" t="n">
        <v>0.0008</v>
      </c>
      <c r="M24" s="34" t="n">
        <f aca="false">G24*L24</f>
        <v>0.72</v>
      </c>
      <c r="N24" s="20" t="n">
        <f aca="false">IF($K$25=0,0,K24/$K$25*Параметры!$B$6)</f>
        <v>166.478265337581</v>
      </c>
      <c r="O24" s="20" t="n">
        <f aca="false">I24*Параметры!$B$10</f>
        <v>6.75</v>
      </c>
      <c r="P24" s="20" t="n">
        <f aca="false">I24+N24*Параметры!$B$9+O24</f>
        <v>2389.93261227007</v>
      </c>
      <c r="Q24" s="20" t="n">
        <f aca="false">P24*E24</f>
        <v>238.993261227007</v>
      </c>
      <c r="R24" s="20" t="n">
        <f aca="false">P24*Параметры!$B$11</f>
        <v>9.55973044908026</v>
      </c>
      <c r="S24" s="20" t="n">
        <f aca="false">(P24+Q24)*Параметры!$B$12</f>
        <v>315.471104819649</v>
      </c>
      <c r="T24" s="20" t="n">
        <f aca="false">IF($I$25=0,0,I24/$I$25*(Параметры!$B$14+Параметры!$B$15+Параметры!$B$18))+I24*(Параметры!$B$16+Параметры!$B$17)</f>
        <v>113.201856148492</v>
      </c>
      <c r="U24" s="20" t="n">
        <f aca="false">(I24+N24+O24+Q24+R24+S24*Параметры!$B$13+T24)*Параметры!$B$19</f>
        <v>93.0136265394542</v>
      </c>
      <c r="V24" s="20" t="n">
        <f aca="false">I24+N24+O24+Q24+R24+S24*Параметры!$B$13+T24+U24</f>
        <v>3193.46784452126</v>
      </c>
      <c r="W24" s="35" t="n">
        <f aca="false">IF(G24=0,0,V24/G24)</f>
        <v>3.54829760502363</v>
      </c>
      <c r="X24" s="36" t="n">
        <f aca="false">W24*Параметры!$B$5</f>
        <v>310.476040439567</v>
      </c>
      <c r="Y24" s="36" t="n">
        <f aca="false">X24*(1+Параметры!$B$20)</f>
        <v>419.142654593416</v>
      </c>
      <c r="Z24" s="37" t="n">
        <f aca="false">IF(H24=0,0,W24/H24)</f>
        <v>1.41931904200945</v>
      </c>
    </row>
    <row r="25" customFormat="false" ht="15" hidden="false" customHeight="false" outlineLevel="0" collapsed="false">
      <c r="A25" s="8"/>
      <c r="B25" s="8"/>
      <c r="C25" s="8" t="s">
        <v>131</v>
      </c>
      <c r="D25" s="8"/>
      <c r="E25" s="8"/>
      <c r="F25" s="8"/>
      <c r="G25" s="8" t="n">
        <f aca="false">SUM(G5:G24)</f>
        <v>57300</v>
      </c>
      <c r="H25" s="8"/>
      <c r="I25" s="8" t="n">
        <f aca="false">SUM(I5:I24)</f>
        <v>135765</v>
      </c>
      <c r="J25" s="8"/>
      <c r="K25" s="8" t="n">
        <f aca="false">SUM(K5:K24)</f>
        <v>19462</v>
      </c>
      <c r="L25" s="8"/>
      <c r="M25" s="38" t="n">
        <f aca="false">SUM(M5:M24)</f>
        <v>55.11</v>
      </c>
      <c r="N25" s="8" t="n">
        <f aca="false">SUM(N5:N24)</f>
        <v>9000</v>
      </c>
      <c r="O25" s="8" t="n">
        <f aca="false">SUM(O5:O24)</f>
        <v>407.295</v>
      </c>
      <c r="P25" s="8" t="n">
        <f aca="false">SUM(P5:P24)</f>
        <v>143372.295</v>
      </c>
      <c r="Q25" s="8" t="n">
        <f aca="false">SUM(Q5:Q24)</f>
        <v>13349.0895092282</v>
      </c>
      <c r="R25" s="8" t="n">
        <f aca="false">SUM(R5:R24)</f>
        <v>573.48918</v>
      </c>
      <c r="S25" s="8" t="n">
        <f aca="false">SUM(S5:S24)</f>
        <v>18806.5661411074</v>
      </c>
      <c r="T25" s="8" t="n">
        <f aca="false">SUM(T5:T24)</f>
        <v>6830.6</v>
      </c>
      <c r="U25" s="8" t="n">
        <f aca="false">SUM(U5:U24)</f>
        <v>5541.96119491007</v>
      </c>
      <c r="V25" s="8" t="n">
        <f aca="false">SUM(V5:V24)</f>
        <v>190274.001025246</v>
      </c>
      <c r="W25" s="8"/>
      <c r="X25" s="8"/>
      <c r="Y25" s="8"/>
      <c r="Z25" s="39" t="n">
        <f aca="false">IF(I25=0,0,V25/I25)</f>
        <v>1.40149523828119</v>
      </c>
    </row>
    <row r="27" customFormat="false" ht="15" hidden="false" customHeight="false" outlineLevel="0" collapsed="false">
      <c r="C27" s="13" t="s">
        <v>18</v>
      </c>
      <c r="G27" s="40" t="n">
        <f aca="false">K25/Параметры!$B$7</f>
        <v>0.9731</v>
      </c>
    </row>
    <row r="28" customFormat="false" ht="15" hidden="false" customHeight="false" outlineLevel="0" collapsed="false">
      <c r="C28" s="13" t="s">
        <v>20</v>
      </c>
      <c r="G28" s="40" t="n">
        <f aca="false">M25/Параметры!$B$8</f>
        <v>0.640813953488372</v>
      </c>
    </row>
    <row r="29" customFormat="false" ht="15" hidden="false" customHeight="false" outlineLevel="0" collapsed="false">
      <c r="C29" s="13" t="s">
        <v>132</v>
      </c>
      <c r="G29" s="13" t="str">
        <f aca="false">IF(OR(G27&gt;1,G28&gt;1),"ПЕРЕГРУЗ — уменьшите кол-во","Помещается в одну фуру")</f>
        <v>Помещается в одну фуру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2" t="s">
        <v>133</v>
      </c>
      <c r="B1" s="2" t="s">
        <v>134</v>
      </c>
    </row>
    <row r="2" customFormat="false" ht="15" hidden="false" customHeight="false" outlineLevel="0" collapsed="false">
      <c r="A2" s="41" t="s">
        <v>135</v>
      </c>
      <c r="B2" s="41" t="s">
        <v>136</v>
      </c>
    </row>
    <row r="3" customFormat="false" ht="15" hidden="false" customHeight="false" outlineLevel="0" collapsed="false">
      <c r="A3" s="41" t="s">
        <v>137</v>
      </c>
      <c r="B3" s="41" t="s">
        <v>138</v>
      </c>
    </row>
    <row r="4" customFormat="false" ht="15" hidden="false" customHeight="false" outlineLevel="0" collapsed="false">
      <c r="A4" s="41" t="s">
        <v>139</v>
      </c>
      <c r="B4" s="41" t="s">
        <v>140</v>
      </c>
    </row>
    <row r="5" customFormat="false" ht="15" hidden="false" customHeight="false" outlineLevel="0" collapsed="false">
      <c r="A5" s="41" t="s">
        <v>141</v>
      </c>
      <c r="B5" s="41" t="s">
        <v>142</v>
      </c>
    </row>
    <row r="6" customFormat="false" ht="15" hidden="false" customHeight="false" outlineLevel="0" collapsed="false">
      <c r="A6" s="41" t="s">
        <v>143</v>
      </c>
      <c r="B6" s="41" t="s">
        <v>144</v>
      </c>
    </row>
    <row r="7" customFormat="false" ht="15" hidden="false" customHeight="false" outlineLevel="0" collapsed="false">
      <c r="A7" s="41" t="s">
        <v>145</v>
      </c>
      <c r="B7" s="41" t="s">
        <v>146</v>
      </c>
    </row>
    <row r="8" customFormat="false" ht="15" hidden="false" customHeight="false" outlineLevel="0" collapsed="false">
      <c r="A8" s="41" t="s">
        <v>147</v>
      </c>
      <c r="B8" s="41" t="s">
        <v>148</v>
      </c>
    </row>
    <row r="9" customFormat="false" ht="15" hidden="false" customHeight="false" outlineLevel="0" collapsed="false">
      <c r="A9" s="41" t="s">
        <v>149</v>
      </c>
      <c r="B9" s="41" t="s">
        <v>150</v>
      </c>
    </row>
    <row r="10" customFormat="false" ht="15" hidden="false" customHeight="false" outlineLevel="0" collapsed="false">
      <c r="A10" s="41" t="s">
        <v>151</v>
      </c>
      <c r="B10" s="41" t="s">
        <v>47</v>
      </c>
    </row>
    <row r="11" customFormat="false" ht="15" hidden="false" customHeight="false" outlineLevel="0" collapsed="false">
      <c r="A11" s="41" t="s">
        <v>152</v>
      </c>
      <c r="B11" s="41" t="s">
        <v>153</v>
      </c>
    </row>
    <row r="12" customFormat="false" ht="15" hidden="false" customHeight="false" outlineLevel="0" collapsed="false">
      <c r="A12" s="41" t="s">
        <v>154</v>
      </c>
      <c r="B12" s="41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2026-10-19T05:42:17Z</dcterms:created>
  <dc:creator>openpyxl</dc:creator>
  <dc:description/>
  <dc:language>en-US</dc:language>
  <cp:lastModifiedBy/>
  <dcterms:modified xsi:type="dcterms:W3CDTF">2026-10-19T05:42:17Z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